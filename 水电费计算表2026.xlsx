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HF_metalmarket\"/>
    </mc:Choice>
  </mc:AlternateContent>
  <xr:revisionPtr revIDLastSave="0" documentId="13_ncr:1_{61ED64E6-04DD-4FCA-B737-89C436ED1425}" xr6:coauthVersionLast="47" xr6:coauthVersionMax="47" xr10:uidLastSave="{00000000-0000-0000-0000-000000000000}"/>
  <bookViews>
    <workbookView xWindow="-110" yWindow="-110" windowWidth="25820" windowHeight="15500" firstSheet="9" activeTab="13" xr2:uid="{00000000-000D-0000-FFFF-FFFF00000000}"/>
  </bookViews>
  <sheets>
    <sheet name="2025年3月电费" sheetId="1" r:id="rId1"/>
    <sheet name="2025年4月电费" sheetId="2" r:id="rId2"/>
    <sheet name="2025年5月电费" sheetId="4" r:id="rId3"/>
    <sheet name="抄表数据临时表" sheetId="3" r:id="rId4"/>
    <sheet name="2025年6月水电费" sheetId="5" r:id="rId5"/>
    <sheet name="2025年7月水电费" sheetId="6" r:id="rId6"/>
    <sheet name="2025年8月电费" sheetId="7" r:id="rId7"/>
    <sheet name="2025年9月电费" sheetId="8" r:id="rId8"/>
    <sheet name="2025年10月电费" sheetId="10" r:id="rId9"/>
    <sheet name="2025年11月电费" sheetId="11" r:id="rId10"/>
    <sheet name="2025年12月电费" sheetId="12" r:id="rId11"/>
    <sheet name="2026年1月水电费" sheetId="13" r:id="rId12"/>
    <sheet name="2026年2月水电费" sheetId="15" r:id="rId13"/>
    <sheet name="2026年3月水电费" sheetId="17" r:id="rId14"/>
  </sheets>
  <definedNames>
    <definedName name="_xlnm._FilterDatabase" localSheetId="10" hidden="1">'2025年12月电费'!$A$2:$O$48</definedName>
    <definedName name="_xlnm._FilterDatabase" localSheetId="11" hidden="1">'2026年1月水电费'!$A$1:$R$53</definedName>
    <definedName name="_xlnm._FilterDatabase" localSheetId="12" hidden="1">'2026年2月水电费'!$A$2:$S$57</definedName>
    <definedName name="_xlnm._FilterDatabase" localSheetId="13" hidden="1">'2026年3月水电费'!$A$2:$Q$58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8" i="17" l="1"/>
  <c r="Q57" i="17"/>
  <c r="Q50" i="17"/>
  <c r="Q49" i="17"/>
  <c r="S46" i="15"/>
  <c r="Q41" i="17"/>
  <c r="H10" i="17"/>
  <c r="J10" i="17" s="1"/>
  <c r="H7" i="17"/>
  <c r="J7" i="17" s="1"/>
  <c r="N40" i="17"/>
  <c r="P40" i="17" s="1"/>
  <c r="H40" i="17"/>
  <c r="J40" i="17" s="1"/>
  <c r="K40" i="17" s="1"/>
  <c r="H39" i="17"/>
  <c r="J39" i="17" s="1"/>
  <c r="N38" i="17"/>
  <c r="P38" i="17" s="1"/>
  <c r="H38" i="17"/>
  <c r="J38" i="17" s="1"/>
  <c r="N37" i="17"/>
  <c r="P37" i="17" s="1"/>
  <c r="H37" i="17"/>
  <c r="J37" i="17" s="1"/>
  <c r="N36" i="17"/>
  <c r="P36" i="17" s="1"/>
  <c r="H36" i="17"/>
  <c r="J36" i="17" s="1"/>
  <c r="N35" i="17"/>
  <c r="P35" i="17" s="1"/>
  <c r="H35" i="17"/>
  <c r="J35" i="17" s="1"/>
  <c r="N34" i="17"/>
  <c r="P34" i="17" s="1"/>
  <c r="H34" i="17"/>
  <c r="J34" i="17" s="1"/>
  <c r="K34" i="17" s="1"/>
  <c r="N33" i="17"/>
  <c r="P33" i="17" s="1"/>
  <c r="H33" i="17"/>
  <c r="J33" i="17" s="1"/>
  <c r="K33" i="17" s="1"/>
  <c r="N32" i="17"/>
  <c r="P32" i="17" s="1"/>
  <c r="H32" i="17"/>
  <c r="J32" i="17" s="1"/>
  <c r="K32" i="17" s="1"/>
  <c r="N31" i="17"/>
  <c r="P31" i="17" s="1"/>
  <c r="H31" i="17"/>
  <c r="J31" i="17" s="1"/>
  <c r="K31" i="17" s="1"/>
  <c r="N30" i="17"/>
  <c r="P30" i="17" s="1"/>
  <c r="H30" i="17"/>
  <c r="J30" i="17" s="1"/>
  <c r="K30" i="17" s="1"/>
  <c r="N29" i="17"/>
  <c r="P29" i="17" s="1"/>
  <c r="H29" i="17"/>
  <c r="J29" i="17" s="1"/>
  <c r="K29" i="17" s="1"/>
  <c r="N28" i="17"/>
  <c r="P28" i="17" s="1"/>
  <c r="H28" i="17"/>
  <c r="J28" i="17" s="1"/>
  <c r="K28" i="17" s="1"/>
  <c r="N27" i="17"/>
  <c r="P27" i="17" s="1"/>
  <c r="H27" i="17"/>
  <c r="J27" i="17" s="1"/>
  <c r="K27" i="17" s="1"/>
  <c r="N26" i="17"/>
  <c r="P26" i="17" s="1"/>
  <c r="H26" i="17"/>
  <c r="J26" i="17" s="1"/>
  <c r="N25" i="17"/>
  <c r="P25" i="17" s="1"/>
  <c r="H25" i="17"/>
  <c r="J25" i="17" s="1"/>
  <c r="K25" i="17" s="1"/>
  <c r="N24" i="17"/>
  <c r="P24" i="17" s="1"/>
  <c r="H24" i="17"/>
  <c r="J24" i="17" s="1"/>
  <c r="K24" i="17" s="1"/>
  <c r="N23" i="17"/>
  <c r="P23" i="17" s="1"/>
  <c r="H23" i="17"/>
  <c r="J23" i="17" s="1"/>
  <c r="K23" i="17" s="1"/>
  <c r="N22" i="17"/>
  <c r="P22" i="17" s="1"/>
  <c r="H22" i="17"/>
  <c r="J22" i="17" s="1"/>
  <c r="K22" i="17" s="1"/>
  <c r="N21" i="17"/>
  <c r="P21" i="17" s="1"/>
  <c r="H21" i="17"/>
  <c r="J21" i="17" s="1"/>
  <c r="N20" i="17"/>
  <c r="P20" i="17" s="1"/>
  <c r="H20" i="17"/>
  <c r="J20" i="17" s="1"/>
  <c r="N19" i="17"/>
  <c r="P19" i="17" s="1"/>
  <c r="H19" i="17"/>
  <c r="J19" i="17" s="1"/>
  <c r="K19" i="17" s="1"/>
  <c r="N18" i="17"/>
  <c r="P18" i="17" s="1"/>
  <c r="H18" i="17"/>
  <c r="J18" i="17" s="1"/>
  <c r="K18" i="17" s="1"/>
  <c r="N17" i="17"/>
  <c r="P17" i="17" s="1"/>
  <c r="H17" i="17"/>
  <c r="J17" i="17" s="1"/>
  <c r="K17" i="17" s="1"/>
  <c r="N16" i="17"/>
  <c r="P16" i="17" s="1"/>
  <c r="H16" i="17"/>
  <c r="J16" i="17" s="1"/>
  <c r="N15" i="17"/>
  <c r="P15" i="17" s="1"/>
  <c r="H15" i="17"/>
  <c r="J15" i="17" s="1"/>
  <c r="K15" i="17" s="1"/>
  <c r="N14" i="17"/>
  <c r="P14" i="17" s="1"/>
  <c r="H14" i="17"/>
  <c r="J14" i="17" s="1"/>
  <c r="K14" i="17" s="1"/>
  <c r="H13" i="17"/>
  <c r="J13" i="17" s="1"/>
  <c r="H12" i="17"/>
  <c r="J12" i="17" s="1"/>
  <c r="N11" i="17"/>
  <c r="P11" i="17" s="1"/>
  <c r="H11" i="17"/>
  <c r="J11" i="17" s="1"/>
  <c r="K11" i="17" s="1"/>
  <c r="N9" i="17"/>
  <c r="P9" i="17" s="1"/>
  <c r="H9" i="17"/>
  <c r="J9" i="17" s="1"/>
  <c r="N8" i="17"/>
  <c r="P8" i="17" s="1"/>
  <c r="H8" i="17"/>
  <c r="J8" i="17" s="1"/>
  <c r="N6" i="17"/>
  <c r="P6" i="17" s="1"/>
  <c r="H6" i="17"/>
  <c r="J6" i="17" s="1"/>
  <c r="N5" i="17"/>
  <c r="P5" i="17" s="1"/>
  <c r="H5" i="17"/>
  <c r="J5" i="17" s="1"/>
  <c r="N4" i="17"/>
  <c r="H4" i="17"/>
  <c r="N34" i="7"/>
  <c r="N47" i="7" s="1"/>
  <c r="T40" i="15"/>
  <c r="S56" i="15"/>
  <c r="R52" i="13"/>
  <c r="R53" i="13" s="1"/>
  <c r="R40" i="13"/>
  <c r="S44" i="15"/>
  <c r="K4" i="12"/>
  <c r="K5" i="12"/>
  <c r="N5" i="12" s="1"/>
  <c r="K6" i="12"/>
  <c r="K7" i="12"/>
  <c r="K8" i="12"/>
  <c r="K9" i="12"/>
  <c r="K10" i="12"/>
  <c r="N10" i="12" s="1"/>
  <c r="K11" i="12"/>
  <c r="K12" i="12"/>
  <c r="K13" i="12"/>
  <c r="K14" i="12"/>
  <c r="N14" i="12" s="1"/>
  <c r="K15" i="12"/>
  <c r="N15" i="12" s="1"/>
  <c r="K16" i="12"/>
  <c r="N16" i="12" s="1"/>
  <c r="K17" i="12"/>
  <c r="K18" i="12"/>
  <c r="K19" i="12"/>
  <c r="N19" i="12" s="1"/>
  <c r="K20" i="12"/>
  <c r="N20" i="12" s="1"/>
  <c r="K21" i="12"/>
  <c r="N21" i="12" s="1"/>
  <c r="K22" i="12"/>
  <c r="N22" i="12" s="1"/>
  <c r="K23" i="12"/>
  <c r="N23" i="12" s="1"/>
  <c r="K24" i="12"/>
  <c r="N24" i="12" s="1"/>
  <c r="K25" i="12"/>
  <c r="N25" i="12" s="1"/>
  <c r="K26" i="12"/>
  <c r="N26" i="12" s="1"/>
  <c r="K27" i="12"/>
  <c r="N27" i="12" s="1"/>
  <c r="K28" i="12"/>
  <c r="N28" i="12" s="1"/>
  <c r="K29" i="12"/>
  <c r="N29" i="12" s="1"/>
  <c r="K30" i="12"/>
  <c r="N30" i="12" s="1"/>
  <c r="K31" i="12"/>
  <c r="N31" i="12" s="1"/>
  <c r="K32" i="12"/>
  <c r="K33" i="12"/>
  <c r="N33" i="12" s="1"/>
  <c r="K34" i="12"/>
  <c r="N34" i="12" s="1"/>
  <c r="K35" i="12"/>
  <c r="N35" i="12" s="1"/>
  <c r="K3" i="12"/>
  <c r="R43" i="15"/>
  <c r="Q43" i="15"/>
  <c r="S31" i="15"/>
  <c r="R46" i="13"/>
  <c r="N50" i="11"/>
  <c r="P41" i="6"/>
  <c r="R24" i="15"/>
  <c r="R21" i="15"/>
  <c r="R20" i="15"/>
  <c r="R15" i="15"/>
  <c r="R14" i="15"/>
  <c r="R9" i="15"/>
  <c r="R7" i="15"/>
  <c r="R6" i="15"/>
  <c r="R4" i="15"/>
  <c r="H13" i="15"/>
  <c r="J13" i="15"/>
  <c r="H12" i="15"/>
  <c r="J12" i="15"/>
  <c r="H11" i="15"/>
  <c r="J11" i="15"/>
  <c r="S39" i="13"/>
  <c r="S38" i="13"/>
  <c r="S37" i="13"/>
  <c r="S35" i="13"/>
  <c r="S33" i="13"/>
  <c r="S21" i="13"/>
  <c r="S22" i="13"/>
  <c r="S23" i="13"/>
  <c r="S24" i="13"/>
  <c r="S25" i="13"/>
  <c r="S26" i="13"/>
  <c r="S27" i="13"/>
  <c r="S28" i="13"/>
  <c r="S29" i="13"/>
  <c r="S30" i="13"/>
  <c r="S31" i="13"/>
  <c r="S32" i="13"/>
  <c r="S20" i="13"/>
  <c r="S18" i="13"/>
  <c r="S16" i="13"/>
  <c r="S17" i="13"/>
  <c r="S15" i="13"/>
  <c r="S12" i="13"/>
  <c r="S11" i="13"/>
  <c r="S9" i="13"/>
  <c r="S7" i="13"/>
  <c r="S6" i="13"/>
  <c r="S4" i="13"/>
  <c r="H41" i="15"/>
  <c r="J41" i="15"/>
  <c r="R47" i="13"/>
  <c r="S43" i="15"/>
  <c r="N42" i="15"/>
  <c r="P42" i="15"/>
  <c r="H42" i="15"/>
  <c r="J42" i="15"/>
  <c r="K42" i="15"/>
  <c r="R42" i="15"/>
  <c r="N40" i="15"/>
  <c r="P40" i="15"/>
  <c r="H40" i="15"/>
  <c r="J40" i="15"/>
  <c r="N39" i="15"/>
  <c r="P39" i="15"/>
  <c r="H39" i="15"/>
  <c r="J39" i="15"/>
  <c r="N38" i="15"/>
  <c r="P38" i="15"/>
  <c r="H38" i="15"/>
  <c r="J38" i="15"/>
  <c r="N37" i="15"/>
  <c r="P37" i="15"/>
  <c r="H37" i="15"/>
  <c r="J37" i="15"/>
  <c r="K37" i="15"/>
  <c r="N36" i="15"/>
  <c r="P36" i="15"/>
  <c r="N35" i="15"/>
  <c r="P35" i="15"/>
  <c r="H35" i="15"/>
  <c r="J35" i="15"/>
  <c r="K35" i="15"/>
  <c r="N34" i="15"/>
  <c r="P34" i="15"/>
  <c r="H34" i="15"/>
  <c r="J34" i="15"/>
  <c r="K34" i="15"/>
  <c r="R34" i="15"/>
  <c r="N33" i="15"/>
  <c r="H33" i="15"/>
  <c r="N32" i="15"/>
  <c r="P32" i="15"/>
  <c r="H32" i="15"/>
  <c r="J32" i="15"/>
  <c r="K32" i="15"/>
  <c r="R32" i="15"/>
  <c r="N31" i="15"/>
  <c r="P31" i="15"/>
  <c r="H31" i="15"/>
  <c r="J31" i="15"/>
  <c r="K31" i="15"/>
  <c r="R31" i="15"/>
  <c r="N30" i="15"/>
  <c r="P30" i="15"/>
  <c r="H30" i="15"/>
  <c r="J30" i="15"/>
  <c r="K30" i="15"/>
  <c r="R30" i="15"/>
  <c r="N29" i="15"/>
  <c r="P29" i="15"/>
  <c r="H29" i="15"/>
  <c r="J29" i="15"/>
  <c r="K29" i="15"/>
  <c r="R29" i="15"/>
  <c r="N28" i="15"/>
  <c r="P28" i="15"/>
  <c r="H28" i="15"/>
  <c r="J28" i="15"/>
  <c r="K28" i="15"/>
  <c r="R28" i="15"/>
  <c r="N27" i="15"/>
  <c r="P27" i="15"/>
  <c r="H27" i="15"/>
  <c r="J27" i="15"/>
  <c r="K27" i="15"/>
  <c r="R27" i="15"/>
  <c r="N26" i="15"/>
  <c r="P26" i="15"/>
  <c r="H26" i="15"/>
  <c r="J26" i="15"/>
  <c r="K26" i="15"/>
  <c r="N25" i="15"/>
  <c r="P25" i="15"/>
  <c r="H25" i="15"/>
  <c r="J25" i="15"/>
  <c r="K25" i="15"/>
  <c r="R25" i="15"/>
  <c r="N24" i="15"/>
  <c r="P24" i="15"/>
  <c r="H24" i="15"/>
  <c r="J24" i="15"/>
  <c r="K24" i="15"/>
  <c r="N23" i="15"/>
  <c r="P23" i="15"/>
  <c r="H23" i="15"/>
  <c r="J23" i="15"/>
  <c r="K23" i="15"/>
  <c r="N22" i="15"/>
  <c r="P22" i="15"/>
  <c r="H22" i="15"/>
  <c r="J22" i="15"/>
  <c r="N21" i="15"/>
  <c r="P21" i="15"/>
  <c r="H21" i="15"/>
  <c r="J21" i="15"/>
  <c r="N20" i="15"/>
  <c r="P20" i="15"/>
  <c r="H20" i="15"/>
  <c r="J20" i="15"/>
  <c r="K20" i="15"/>
  <c r="N19" i="15"/>
  <c r="P19" i="15"/>
  <c r="H19" i="15"/>
  <c r="J19" i="15"/>
  <c r="K19" i="15"/>
  <c r="R19" i="15"/>
  <c r="N18" i="15"/>
  <c r="P18" i="15"/>
  <c r="H18" i="15"/>
  <c r="J18" i="15"/>
  <c r="K18" i="15"/>
  <c r="R18" i="15"/>
  <c r="N17" i="15"/>
  <c r="P17" i="15"/>
  <c r="H17" i="15"/>
  <c r="J17" i="15"/>
  <c r="N16" i="15"/>
  <c r="P16" i="15"/>
  <c r="H16" i="15"/>
  <c r="J16" i="15"/>
  <c r="N15" i="15"/>
  <c r="P15" i="15"/>
  <c r="H15" i="15"/>
  <c r="J15" i="15"/>
  <c r="N14" i="15"/>
  <c r="P14" i="15"/>
  <c r="H14" i="15"/>
  <c r="J14" i="15"/>
  <c r="K14" i="15"/>
  <c r="N10" i="15"/>
  <c r="P10" i="15"/>
  <c r="H10" i="15"/>
  <c r="J10" i="15"/>
  <c r="N9" i="15"/>
  <c r="P9" i="15"/>
  <c r="H9" i="15"/>
  <c r="J9" i="15"/>
  <c r="K9" i="15"/>
  <c r="N8" i="15"/>
  <c r="P8" i="15"/>
  <c r="H8" i="15"/>
  <c r="J8" i="15"/>
  <c r="N7" i="15"/>
  <c r="P7" i="15"/>
  <c r="H7" i="15"/>
  <c r="J7" i="15"/>
  <c r="N6" i="15"/>
  <c r="P6" i="15"/>
  <c r="H6" i="15"/>
  <c r="J6" i="15"/>
  <c r="K6" i="15"/>
  <c r="N5" i="15"/>
  <c r="P5" i="15"/>
  <c r="H5" i="15"/>
  <c r="J5" i="15"/>
  <c r="N4" i="15"/>
  <c r="P4" i="15"/>
  <c r="H4" i="15"/>
  <c r="J4" i="15"/>
  <c r="O42" i="12"/>
  <c r="O40" i="12"/>
  <c r="O37" i="12"/>
  <c r="O36" i="12"/>
  <c r="O48" i="12" s="1"/>
  <c r="R50" i="13" s="1"/>
  <c r="H35" i="12"/>
  <c r="J35" i="12" s="1"/>
  <c r="H34" i="12"/>
  <c r="J34" i="12" s="1"/>
  <c r="H33" i="12"/>
  <c r="J33" i="12"/>
  <c r="H32" i="12"/>
  <c r="J32" i="12" s="1"/>
  <c r="H31" i="12"/>
  <c r="J31" i="12" s="1"/>
  <c r="H30" i="12"/>
  <c r="J30" i="12"/>
  <c r="H29" i="12"/>
  <c r="J29" i="12" s="1"/>
  <c r="H28" i="12"/>
  <c r="J28" i="12"/>
  <c r="H27" i="12"/>
  <c r="J27" i="12"/>
  <c r="H26" i="12"/>
  <c r="J26" i="12"/>
  <c r="H25" i="12"/>
  <c r="J25" i="12" s="1"/>
  <c r="H24" i="12"/>
  <c r="J24" i="12"/>
  <c r="H23" i="12"/>
  <c r="J23" i="12" s="1"/>
  <c r="H22" i="12"/>
  <c r="J22" i="12"/>
  <c r="H21" i="12"/>
  <c r="J21" i="12" s="1"/>
  <c r="H20" i="12"/>
  <c r="J20" i="12"/>
  <c r="H19" i="12"/>
  <c r="J19" i="12" s="1"/>
  <c r="H18" i="12"/>
  <c r="J18" i="12" s="1"/>
  <c r="H17" i="12"/>
  <c r="J17" i="12"/>
  <c r="H16" i="12"/>
  <c r="J16" i="12"/>
  <c r="H15" i="12"/>
  <c r="J15" i="12"/>
  <c r="H14" i="12"/>
  <c r="J14" i="12" s="1"/>
  <c r="H13" i="12"/>
  <c r="J13" i="12" s="1"/>
  <c r="H12" i="12"/>
  <c r="J12" i="12" s="1"/>
  <c r="H11" i="12"/>
  <c r="J11" i="12" s="1"/>
  <c r="H10" i="12"/>
  <c r="J10" i="12"/>
  <c r="H9" i="12"/>
  <c r="J9" i="12"/>
  <c r="H8" i="12"/>
  <c r="J8" i="12" s="1"/>
  <c r="H7" i="12"/>
  <c r="J7" i="12" s="1"/>
  <c r="H6" i="12"/>
  <c r="J6" i="12"/>
  <c r="H5" i="12"/>
  <c r="J5" i="12"/>
  <c r="H4" i="12"/>
  <c r="J4" i="12"/>
  <c r="H3" i="12"/>
  <c r="A3" i="12"/>
  <c r="N51" i="11"/>
  <c r="N46" i="11"/>
  <c r="N44" i="11"/>
  <c r="N41" i="11"/>
  <c r="P35" i="11"/>
  <c r="O35" i="11"/>
  <c r="N35" i="11"/>
  <c r="M35" i="11"/>
  <c r="J35" i="11"/>
  <c r="H35" i="11"/>
  <c r="M34" i="11"/>
  <c r="J34" i="11"/>
  <c r="H34" i="11"/>
  <c r="M33" i="11"/>
  <c r="J33" i="11"/>
  <c r="H33" i="11"/>
  <c r="M32" i="11"/>
  <c r="J32" i="11"/>
  <c r="H32" i="11"/>
  <c r="J31" i="11"/>
  <c r="H31" i="11"/>
  <c r="M30" i="11"/>
  <c r="J30" i="11"/>
  <c r="H30" i="11"/>
  <c r="M29" i="11"/>
  <c r="J29" i="11"/>
  <c r="H29" i="11"/>
  <c r="M28" i="11"/>
  <c r="J28" i="11"/>
  <c r="H28" i="11"/>
  <c r="M27" i="11"/>
  <c r="J27" i="11"/>
  <c r="H27" i="11"/>
  <c r="M26" i="11"/>
  <c r="J26" i="11"/>
  <c r="H26" i="11"/>
  <c r="M25" i="11"/>
  <c r="J25" i="11"/>
  <c r="H25" i="11"/>
  <c r="M24" i="11"/>
  <c r="J24" i="11"/>
  <c r="H24" i="11"/>
  <c r="M23" i="11"/>
  <c r="J23" i="11"/>
  <c r="H23" i="11"/>
  <c r="M22" i="11"/>
  <c r="J22" i="11"/>
  <c r="H22" i="11"/>
  <c r="M21" i="11"/>
  <c r="J21" i="11"/>
  <c r="H21" i="11"/>
  <c r="M20" i="11"/>
  <c r="J20" i="11"/>
  <c r="H20" i="11"/>
  <c r="M19" i="11"/>
  <c r="J19" i="11"/>
  <c r="H19" i="11"/>
  <c r="M18" i="11"/>
  <c r="J18" i="11"/>
  <c r="H18" i="11"/>
  <c r="J17" i="11"/>
  <c r="H17" i="11"/>
  <c r="M16" i="11"/>
  <c r="J16" i="11"/>
  <c r="H16" i="11"/>
  <c r="M15" i="11"/>
  <c r="J15" i="11"/>
  <c r="H15" i="11"/>
  <c r="M14" i="11"/>
  <c r="J14" i="11"/>
  <c r="H14" i="11"/>
  <c r="M13" i="11"/>
  <c r="J13" i="11"/>
  <c r="H13" i="11"/>
  <c r="J12" i="11"/>
  <c r="H12" i="11"/>
  <c r="J11" i="11"/>
  <c r="H11" i="11"/>
  <c r="M10" i="11"/>
  <c r="J10" i="11"/>
  <c r="H10" i="11"/>
  <c r="M9" i="11"/>
  <c r="J9" i="11"/>
  <c r="H9" i="11"/>
  <c r="M8" i="11"/>
  <c r="J8" i="11"/>
  <c r="H8" i="11"/>
  <c r="J7" i="11"/>
  <c r="H7" i="11"/>
  <c r="M6" i="11"/>
  <c r="J6" i="11"/>
  <c r="H6" i="11"/>
  <c r="M5" i="11"/>
  <c r="J5" i="11"/>
  <c r="H5" i="11"/>
  <c r="J4" i="11"/>
  <c r="H4" i="11"/>
  <c r="M3" i="11"/>
  <c r="J3" i="11"/>
  <c r="H3" i="11"/>
  <c r="A3" i="11"/>
  <c r="N46" i="10"/>
  <c r="N35" i="10"/>
  <c r="N48" i="10" s="1"/>
  <c r="N48" i="11" s="1"/>
  <c r="N49" i="11" s="1"/>
  <c r="H34" i="10"/>
  <c r="J34" i="10" s="1"/>
  <c r="M34" i="10" s="1"/>
  <c r="O34" i="10" s="1"/>
  <c r="H33" i="10"/>
  <c r="J33" i="10" s="1"/>
  <c r="M32" i="10" s="1"/>
  <c r="H32" i="10"/>
  <c r="H31" i="10"/>
  <c r="J31" i="10" s="1"/>
  <c r="M31" i="10" s="1"/>
  <c r="H30" i="10"/>
  <c r="J30" i="10" s="1"/>
  <c r="H29" i="10"/>
  <c r="J29" i="10" s="1"/>
  <c r="M29" i="10" s="1"/>
  <c r="H28" i="10"/>
  <c r="J28" i="10" s="1"/>
  <c r="M28" i="10" s="1"/>
  <c r="H27" i="10"/>
  <c r="J27" i="10" s="1"/>
  <c r="M27" i="10" s="1"/>
  <c r="H26" i="10"/>
  <c r="J26" i="10" s="1"/>
  <c r="M26" i="10" s="1"/>
  <c r="H25" i="10"/>
  <c r="J25" i="10" s="1"/>
  <c r="M25" i="10" s="1"/>
  <c r="H24" i="10"/>
  <c r="J24" i="10" s="1"/>
  <c r="M24" i="10" s="1"/>
  <c r="H23" i="10"/>
  <c r="J23" i="10" s="1"/>
  <c r="M23" i="10" s="1"/>
  <c r="H22" i="10"/>
  <c r="J22" i="10" s="1"/>
  <c r="M22" i="10" s="1"/>
  <c r="H21" i="10"/>
  <c r="J21" i="10" s="1"/>
  <c r="M21" i="10" s="1"/>
  <c r="H20" i="10"/>
  <c r="J20" i="10" s="1"/>
  <c r="M20" i="10" s="1"/>
  <c r="H19" i="10"/>
  <c r="J19" i="10" s="1"/>
  <c r="M19" i="10" s="1"/>
  <c r="H18" i="10"/>
  <c r="J18" i="10" s="1"/>
  <c r="M18" i="10" s="1"/>
  <c r="H17" i="10"/>
  <c r="J17" i="10" s="1"/>
  <c r="M17" i="10" s="1"/>
  <c r="H16" i="10"/>
  <c r="J16" i="10" s="1"/>
  <c r="H15" i="10"/>
  <c r="J15" i="10" s="1"/>
  <c r="M15" i="10" s="1"/>
  <c r="H14" i="10"/>
  <c r="J14" i="10" s="1"/>
  <c r="M14" i="10" s="1"/>
  <c r="H13" i="10"/>
  <c r="J13" i="10" s="1"/>
  <c r="M13" i="10" s="1"/>
  <c r="H12" i="10"/>
  <c r="J12" i="10" s="1"/>
  <c r="M12" i="10" s="1"/>
  <c r="H11" i="10"/>
  <c r="J11" i="10" s="1"/>
  <c r="H10" i="10"/>
  <c r="J10" i="10" s="1"/>
  <c r="M10" i="10" s="1"/>
  <c r="H9" i="10"/>
  <c r="J9" i="10" s="1"/>
  <c r="M9" i="10" s="1"/>
  <c r="H8" i="10"/>
  <c r="J8" i="10" s="1"/>
  <c r="M8" i="10" s="1"/>
  <c r="H7" i="10"/>
  <c r="J7" i="10" s="1"/>
  <c r="M6" i="10" s="1"/>
  <c r="H6" i="10"/>
  <c r="J6" i="10" s="1"/>
  <c r="H5" i="10"/>
  <c r="J5" i="10" s="1"/>
  <c r="M5" i="10" s="1"/>
  <c r="H4" i="10"/>
  <c r="J4" i="10" s="1"/>
  <c r="H3" i="10"/>
  <c r="J3" i="10" s="1"/>
  <c r="A3" i="10"/>
  <c r="N47" i="8"/>
  <c r="N44" i="8"/>
  <c r="O34" i="8"/>
  <c r="N34" i="8"/>
  <c r="M34" i="8"/>
  <c r="J34" i="8"/>
  <c r="O33" i="8"/>
  <c r="M33" i="8"/>
  <c r="J33" i="8"/>
  <c r="H33" i="8"/>
  <c r="M32" i="8"/>
  <c r="J32" i="8"/>
  <c r="H32" i="8"/>
  <c r="M31" i="8"/>
  <c r="J31" i="8"/>
  <c r="H31" i="8"/>
  <c r="J30" i="8"/>
  <c r="H30" i="8"/>
  <c r="M29" i="8"/>
  <c r="J29" i="8"/>
  <c r="H29" i="8"/>
  <c r="M28" i="8"/>
  <c r="J28" i="8"/>
  <c r="H28" i="8"/>
  <c r="M27" i="8"/>
  <c r="J27" i="8"/>
  <c r="H27" i="8"/>
  <c r="M26" i="8"/>
  <c r="J26" i="8"/>
  <c r="H26" i="8"/>
  <c r="M25" i="8"/>
  <c r="J25" i="8"/>
  <c r="H25" i="8"/>
  <c r="M24" i="8"/>
  <c r="J24" i="8"/>
  <c r="H24" i="8"/>
  <c r="M23" i="8"/>
  <c r="J23" i="8"/>
  <c r="H23" i="8"/>
  <c r="M22" i="8"/>
  <c r="J22" i="8"/>
  <c r="H22" i="8"/>
  <c r="M21" i="8"/>
  <c r="J21" i="8"/>
  <c r="H21" i="8"/>
  <c r="M20" i="8"/>
  <c r="J20" i="8"/>
  <c r="H20" i="8"/>
  <c r="M19" i="8"/>
  <c r="J19" i="8"/>
  <c r="H19" i="8"/>
  <c r="M18" i="8"/>
  <c r="J18" i="8"/>
  <c r="H18" i="8"/>
  <c r="M17" i="8"/>
  <c r="J17" i="8"/>
  <c r="H17" i="8"/>
  <c r="J16" i="8"/>
  <c r="H16" i="8"/>
  <c r="M15" i="8"/>
  <c r="J15" i="8"/>
  <c r="H15" i="8"/>
  <c r="M14" i="8"/>
  <c r="J14" i="8"/>
  <c r="H14" i="8"/>
  <c r="M13" i="8"/>
  <c r="J13" i="8"/>
  <c r="H13" i="8"/>
  <c r="M12" i="8"/>
  <c r="J12" i="8"/>
  <c r="H12" i="8"/>
  <c r="J11" i="8"/>
  <c r="H11" i="8"/>
  <c r="M10" i="8"/>
  <c r="J10" i="8"/>
  <c r="H10" i="8"/>
  <c r="M9" i="8"/>
  <c r="J9" i="8"/>
  <c r="H9" i="8"/>
  <c r="M8" i="8"/>
  <c r="J8" i="8"/>
  <c r="H8" i="8"/>
  <c r="J7" i="8"/>
  <c r="H7" i="8"/>
  <c r="M6" i="8"/>
  <c r="J6" i="8"/>
  <c r="H6" i="8"/>
  <c r="M5" i="8"/>
  <c r="J5" i="8"/>
  <c r="H5" i="8"/>
  <c r="J4" i="8"/>
  <c r="H4" i="8"/>
  <c r="M3" i="8"/>
  <c r="J3" i="8"/>
  <c r="H3" i="8"/>
  <c r="A3" i="8"/>
  <c r="N37" i="7"/>
  <c r="O34" i="7"/>
  <c r="M34" i="7"/>
  <c r="J34" i="7"/>
  <c r="M33" i="7"/>
  <c r="J33" i="7"/>
  <c r="H33" i="7"/>
  <c r="M32" i="7"/>
  <c r="J32" i="7"/>
  <c r="H32" i="7"/>
  <c r="M31" i="7"/>
  <c r="J31" i="7"/>
  <c r="H31" i="7"/>
  <c r="M30" i="7"/>
  <c r="J30" i="7"/>
  <c r="H30" i="7"/>
  <c r="M29" i="7"/>
  <c r="J29" i="7"/>
  <c r="H29" i="7"/>
  <c r="M28" i="7"/>
  <c r="J28" i="7"/>
  <c r="H28" i="7"/>
  <c r="M27" i="7"/>
  <c r="J27" i="7"/>
  <c r="H27" i="7"/>
  <c r="M26" i="7"/>
  <c r="J26" i="7"/>
  <c r="H26" i="7"/>
  <c r="M25" i="7"/>
  <c r="J25" i="7"/>
  <c r="H25" i="7"/>
  <c r="M24" i="7"/>
  <c r="J24" i="7"/>
  <c r="H24" i="7"/>
  <c r="M23" i="7"/>
  <c r="J23" i="7"/>
  <c r="H23" i="7"/>
  <c r="M22" i="7"/>
  <c r="J22" i="7"/>
  <c r="H22" i="7"/>
  <c r="M21" i="7"/>
  <c r="J21" i="7"/>
  <c r="H21" i="7"/>
  <c r="M20" i="7"/>
  <c r="J20" i="7"/>
  <c r="H20" i="7"/>
  <c r="M19" i="7"/>
  <c r="J19" i="7"/>
  <c r="H19" i="7"/>
  <c r="M18" i="7"/>
  <c r="J18" i="7"/>
  <c r="H18" i="7"/>
  <c r="M17" i="7"/>
  <c r="J17" i="7"/>
  <c r="H17" i="7"/>
  <c r="J16" i="7"/>
  <c r="H16" i="7"/>
  <c r="M15" i="7"/>
  <c r="J15" i="7"/>
  <c r="H15" i="7"/>
  <c r="M14" i="7"/>
  <c r="J14" i="7"/>
  <c r="H14" i="7"/>
  <c r="M13" i="7"/>
  <c r="J13" i="7"/>
  <c r="H13" i="7"/>
  <c r="M12" i="7"/>
  <c r="J12" i="7"/>
  <c r="H12" i="7"/>
  <c r="J11" i="7"/>
  <c r="H11" i="7"/>
  <c r="M10" i="7"/>
  <c r="J10" i="7"/>
  <c r="H10" i="7"/>
  <c r="M9" i="7"/>
  <c r="J9" i="7"/>
  <c r="H9" i="7"/>
  <c r="M8" i="7"/>
  <c r="J8" i="7"/>
  <c r="H8" i="7"/>
  <c r="J7" i="7"/>
  <c r="H7" i="7"/>
  <c r="M6" i="7"/>
  <c r="J6" i="7"/>
  <c r="H6" i="7"/>
  <c r="M5" i="7"/>
  <c r="J5" i="7"/>
  <c r="H5" i="7"/>
  <c r="J4" i="7"/>
  <c r="H4" i="7"/>
  <c r="M3" i="7"/>
  <c r="J3" i="7"/>
  <c r="H3" i="7"/>
  <c r="A3" i="7"/>
  <c r="N43" i="6"/>
  <c r="N40" i="6"/>
  <c r="N34" i="6"/>
  <c r="M34" i="6"/>
  <c r="J34" i="6"/>
  <c r="M33" i="6"/>
  <c r="J33" i="6"/>
  <c r="H33" i="6"/>
  <c r="M32" i="6"/>
  <c r="J32" i="6"/>
  <c r="H32" i="6"/>
  <c r="M31" i="6"/>
  <c r="J31" i="6"/>
  <c r="H31" i="6"/>
  <c r="M30" i="6"/>
  <c r="J30" i="6"/>
  <c r="H30" i="6"/>
  <c r="M29" i="6"/>
  <c r="J29" i="6"/>
  <c r="H29" i="6"/>
  <c r="M28" i="6"/>
  <c r="J28" i="6"/>
  <c r="H28" i="6"/>
  <c r="M27" i="6"/>
  <c r="J27" i="6"/>
  <c r="H27" i="6"/>
  <c r="M26" i="6"/>
  <c r="J26" i="6"/>
  <c r="H26" i="6"/>
  <c r="M25" i="6"/>
  <c r="J25" i="6"/>
  <c r="H25" i="6"/>
  <c r="M24" i="6"/>
  <c r="J24" i="6"/>
  <c r="H24" i="6"/>
  <c r="M23" i="6"/>
  <c r="J23" i="6"/>
  <c r="H23" i="6"/>
  <c r="M22" i="6"/>
  <c r="J22" i="6"/>
  <c r="H22" i="6"/>
  <c r="M21" i="6"/>
  <c r="J21" i="6"/>
  <c r="H21" i="6"/>
  <c r="M20" i="6"/>
  <c r="J20" i="6"/>
  <c r="H20" i="6"/>
  <c r="M19" i="6"/>
  <c r="J19" i="6"/>
  <c r="H19" i="6"/>
  <c r="Q18" i="6"/>
  <c r="O18" i="6"/>
  <c r="M18" i="6"/>
  <c r="J18" i="6"/>
  <c r="H18" i="6"/>
  <c r="J17" i="6"/>
  <c r="H17" i="6"/>
  <c r="M16" i="6"/>
  <c r="J16" i="6"/>
  <c r="H16" i="6"/>
  <c r="M15" i="6"/>
  <c r="J15" i="6"/>
  <c r="H15" i="6"/>
  <c r="M14" i="6"/>
  <c r="J14" i="6"/>
  <c r="H14" i="6"/>
  <c r="M13" i="6"/>
  <c r="J13" i="6"/>
  <c r="H13" i="6"/>
  <c r="J12" i="6"/>
  <c r="H12" i="6"/>
  <c r="M11" i="6"/>
  <c r="J11" i="6"/>
  <c r="H11" i="6"/>
  <c r="M10" i="6"/>
  <c r="J10" i="6"/>
  <c r="H10" i="6"/>
  <c r="M9" i="6"/>
  <c r="J9" i="6"/>
  <c r="H9" i="6"/>
  <c r="J8" i="6"/>
  <c r="H8" i="6"/>
  <c r="M7" i="6"/>
  <c r="J7" i="6"/>
  <c r="H7" i="6"/>
  <c r="J6" i="6"/>
  <c r="H6" i="6"/>
  <c r="M5" i="6"/>
  <c r="J5" i="6"/>
  <c r="H5" i="6"/>
  <c r="J4" i="6"/>
  <c r="H4" i="6"/>
  <c r="M3" i="6"/>
  <c r="J3" i="6"/>
  <c r="H3" i="6"/>
  <c r="A3" i="6"/>
  <c r="R40" i="5"/>
  <c r="J40" i="5"/>
  <c r="R34" i="5"/>
  <c r="Q34" i="5"/>
  <c r="N34" i="5"/>
  <c r="J34" i="5"/>
  <c r="Q33" i="5"/>
  <c r="N33" i="5"/>
  <c r="J33" i="5"/>
  <c r="H33" i="5"/>
  <c r="Q32" i="5"/>
  <c r="N32" i="5"/>
  <c r="J32" i="5"/>
  <c r="H32" i="5"/>
  <c r="N31" i="5"/>
  <c r="J31" i="5"/>
  <c r="H31" i="5"/>
  <c r="Q30" i="5"/>
  <c r="N30" i="5"/>
  <c r="Q29" i="5"/>
  <c r="N29" i="5"/>
  <c r="J29" i="5"/>
  <c r="H29" i="5"/>
  <c r="Q28" i="5"/>
  <c r="N28" i="5"/>
  <c r="J28" i="5"/>
  <c r="H28" i="5"/>
  <c r="Q27" i="5"/>
  <c r="N27" i="5"/>
  <c r="J27" i="5"/>
  <c r="H27" i="5"/>
  <c r="Q26" i="5"/>
  <c r="N26" i="5"/>
  <c r="J26" i="5"/>
  <c r="H26" i="5"/>
  <c r="Q25" i="5"/>
  <c r="N25" i="5"/>
  <c r="J25" i="5"/>
  <c r="H25" i="5"/>
  <c r="Q24" i="5"/>
  <c r="N24" i="5"/>
  <c r="J24" i="5"/>
  <c r="H24" i="5"/>
  <c r="R23" i="5"/>
  <c r="Q23" i="5"/>
  <c r="N23" i="5"/>
  <c r="J23" i="5"/>
  <c r="H23" i="5"/>
  <c r="Q22" i="5"/>
  <c r="N22" i="5"/>
  <c r="J22" i="5"/>
  <c r="H22" i="5"/>
  <c r="Q21" i="5"/>
  <c r="N21" i="5"/>
  <c r="J21" i="5"/>
  <c r="H21" i="5"/>
  <c r="Q20" i="5"/>
  <c r="N20" i="5"/>
  <c r="J20" i="5"/>
  <c r="H20" i="5"/>
  <c r="Q19" i="5"/>
  <c r="N19" i="5"/>
  <c r="J19" i="5"/>
  <c r="H19" i="5"/>
  <c r="Q18" i="5"/>
  <c r="N18" i="5"/>
  <c r="J18" i="5"/>
  <c r="H18" i="5"/>
  <c r="Q17" i="5"/>
  <c r="N17" i="5"/>
  <c r="J17" i="5"/>
  <c r="H17" i="5"/>
  <c r="Q16" i="5"/>
  <c r="N16" i="5"/>
  <c r="J16" i="5"/>
  <c r="H16" i="5"/>
  <c r="Q15" i="5"/>
  <c r="N15" i="5"/>
  <c r="J15" i="5"/>
  <c r="H15" i="5"/>
  <c r="Q14" i="5"/>
  <c r="N14" i="5"/>
  <c r="J14" i="5"/>
  <c r="H14" i="5"/>
  <c r="Q13" i="5"/>
  <c r="N13" i="5"/>
  <c r="J13" i="5"/>
  <c r="H13" i="5"/>
  <c r="N12" i="5"/>
  <c r="J12" i="5"/>
  <c r="H12" i="5"/>
  <c r="Q11" i="5"/>
  <c r="N11" i="5"/>
  <c r="J11" i="5"/>
  <c r="H11" i="5"/>
  <c r="Q10" i="5"/>
  <c r="N10" i="5"/>
  <c r="J10" i="5"/>
  <c r="H10" i="5"/>
  <c r="S9" i="5"/>
  <c r="Q9" i="5"/>
  <c r="N9" i="5"/>
  <c r="J9" i="5"/>
  <c r="H9" i="5"/>
  <c r="N8" i="5"/>
  <c r="J8" i="5"/>
  <c r="H8" i="5"/>
  <c r="Q7" i="5"/>
  <c r="N7" i="5"/>
  <c r="J7" i="5"/>
  <c r="H7" i="5"/>
  <c r="N6" i="5"/>
  <c r="J6" i="5"/>
  <c r="H6" i="5"/>
  <c r="Q5" i="5"/>
  <c r="N5" i="5"/>
  <c r="J5" i="5"/>
  <c r="H5" i="5"/>
  <c r="N4" i="5"/>
  <c r="J4" i="5"/>
  <c r="H4" i="5"/>
  <c r="Q3" i="5"/>
  <c r="N3" i="5"/>
  <c r="J3" i="5"/>
  <c r="H3" i="5"/>
  <c r="A3" i="5"/>
  <c r="G48" i="3"/>
  <c r="E48" i="3"/>
  <c r="G47" i="3"/>
  <c r="E47" i="3"/>
  <c r="E45" i="3"/>
  <c r="E44" i="3"/>
  <c r="G43" i="3"/>
  <c r="E43" i="3"/>
  <c r="G42" i="3"/>
  <c r="E42" i="3"/>
  <c r="G40" i="3"/>
  <c r="E40" i="3"/>
  <c r="E39" i="3"/>
  <c r="E38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4" i="3"/>
  <c r="E24" i="3"/>
  <c r="G23" i="3"/>
  <c r="E23" i="3"/>
  <c r="E22" i="3"/>
  <c r="E21" i="3"/>
  <c r="E20" i="3"/>
  <c r="E19" i="3"/>
  <c r="E18" i="3"/>
  <c r="E17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7" i="3"/>
  <c r="E7" i="3"/>
  <c r="G6" i="3"/>
  <c r="E6" i="3"/>
  <c r="G5" i="3"/>
  <c r="E5" i="3"/>
  <c r="G4" i="3"/>
  <c r="E4" i="3"/>
  <c r="G3" i="3"/>
  <c r="E3" i="3"/>
  <c r="G2" i="3"/>
  <c r="E2" i="3"/>
  <c r="N43" i="4"/>
  <c r="N42" i="4"/>
  <c r="N37" i="4"/>
  <c r="N32" i="4"/>
  <c r="M32" i="4"/>
  <c r="J32" i="4"/>
  <c r="M31" i="4"/>
  <c r="J31" i="4"/>
  <c r="H31" i="4"/>
  <c r="A31" i="4"/>
  <c r="J30" i="4"/>
  <c r="H30" i="4"/>
  <c r="F30" i="4"/>
  <c r="A30" i="4"/>
  <c r="M29" i="4"/>
  <c r="J29" i="4"/>
  <c r="H29" i="4"/>
  <c r="F29" i="4"/>
  <c r="A29" i="4"/>
  <c r="M28" i="4"/>
  <c r="J28" i="4"/>
  <c r="H28" i="4"/>
  <c r="F28" i="4"/>
  <c r="A28" i="4"/>
  <c r="M27" i="4"/>
  <c r="J27" i="4"/>
  <c r="H27" i="4"/>
  <c r="F27" i="4"/>
  <c r="A27" i="4"/>
  <c r="M26" i="4"/>
  <c r="J26" i="4"/>
  <c r="H26" i="4"/>
  <c r="F26" i="4"/>
  <c r="A26" i="4"/>
  <c r="M25" i="4"/>
  <c r="J25" i="4"/>
  <c r="H25" i="4"/>
  <c r="F25" i="4"/>
  <c r="A25" i="4"/>
  <c r="M24" i="4"/>
  <c r="J24" i="4"/>
  <c r="H24" i="4"/>
  <c r="F24" i="4"/>
  <c r="A24" i="4"/>
  <c r="M23" i="4"/>
  <c r="J23" i="4"/>
  <c r="H23" i="4"/>
  <c r="F23" i="4"/>
  <c r="A23" i="4"/>
  <c r="M22" i="4"/>
  <c r="J22" i="4"/>
  <c r="H22" i="4"/>
  <c r="F22" i="4"/>
  <c r="A22" i="4"/>
  <c r="M21" i="4"/>
  <c r="J21" i="4"/>
  <c r="H21" i="4"/>
  <c r="F21" i="4"/>
  <c r="A21" i="4"/>
  <c r="M20" i="4"/>
  <c r="J20" i="4"/>
  <c r="H20" i="4"/>
  <c r="F20" i="4"/>
  <c r="A20" i="4"/>
  <c r="M19" i="4"/>
  <c r="J19" i="4"/>
  <c r="H19" i="4"/>
  <c r="F19" i="4"/>
  <c r="A19" i="4"/>
  <c r="M18" i="4"/>
  <c r="J18" i="4"/>
  <c r="H18" i="4"/>
  <c r="F18" i="4"/>
  <c r="A18" i="4"/>
  <c r="M17" i="4"/>
  <c r="J17" i="4"/>
  <c r="H17" i="4"/>
  <c r="F17" i="4"/>
  <c r="A17" i="4"/>
  <c r="M16" i="4"/>
  <c r="J16" i="4"/>
  <c r="H16" i="4"/>
  <c r="F16" i="4"/>
  <c r="A16" i="4"/>
  <c r="M15" i="4"/>
  <c r="J15" i="4"/>
  <c r="H15" i="4"/>
  <c r="F15" i="4"/>
  <c r="A15" i="4"/>
  <c r="M14" i="4"/>
  <c r="J14" i="4"/>
  <c r="H14" i="4"/>
  <c r="F14" i="4"/>
  <c r="A14" i="4"/>
  <c r="M13" i="4"/>
  <c r="J13" i="4"/>
  <c r="H13" i="4"/>
  <c r="F13" i="4"/>
  <c r="A13" i="4"/>
  <c r="J12" i="4"/>
  <c r="H12" i="4"/>
  <c r="F12" i="4"/>
  <c r="M11" i="4"/>
  <c r="J11" i="4"/>
  <c r="H11" i="4"/>
  <c r="F11" i="4"/>
  <c r="A11" i="4"/>
  <c r="M10" i="4"/>
  <c r="J10" i="4"/>
  <c r="H10" i="4"/>
  <c r="F10" i="4"/>
  <c r="A10" i="4"/>
  <c r="M9" i="4"/>
  <c r="J9" i="4"/>
  <c r="H9" i="4"/>
  <c r="F9" i="4"/>
  <c r="A9" i="4"/>
  <c r="J8" i="4"/>
  <c r="H8" i="4"/>
  <c r="F8" i="4"/>
  <c r="M7" i="4"/>
  <c r="J7" i="4"/>
  <c r="H7" i="4"/>
  <c r="F7" i="4"/>
  <c r="A7" i="4"/>
  <c r="J6" i="4"/>
  <c r="H6" i="4"/>
  <c r="F6" i="4"/>
  <c r="M5" i="4"/>
  <c r="J5" i="4"/>
  <c r="H5" i="4"/>
  <c r="F5" i="4"/>
  <c r="A5" i="4"/>
  <c r="J4" i="4"/>
  <c r="H4" i="4"/>
  <c r="F4" i="4"/>
  <c r="A4" i="4"/>
  <c r="M3" i="4"/>
  <c r="J3" i="4"/>
  <c r="H3" i="4"/>
  <c r="F3" i="4"/>
  <c r="A3" i="4"/>
  <c r="N43" i="2"/>
  <c r="N41" i="2"/>
  <c r="N36" i="2"/>
  <c r="N35" i="2"/>
  <c r="N33" i="2"/>
  <c r="M33" i="2"/>
  <c r="J33" i="2"/>
  <c r="J32" i="2"/>
  <c r="H32" i="2"/>
  <c r="A32" i="2"/>
  <c r="M31" i="2"/>
  <c r="J31" i="2"/>
  <c r="H31" i="2"/>
  <c r="A31" i="2"/>
  <c r="M30" i="2"/>
  <c r="H30" i="2"/>
  <c r="E30" i="2"/>
  <c r="A30" i="2"/>
  <c r="M29" i="2"/>
  <c r="J29" i="2"/>
  <c r="H29" i="2"/>
  <c r="F29" i="2"/>
  <c r="A29" i="2"/>
  <c r="M28" i="2"/>
  <c r="J28" i="2"/>
  <c r="H28" i="2"/>
  <c r="F28" i="2"/>
  <c r="A28" i="2"/>
  <c r="M27" i="2"/>
  <c r="J27" i="2"/>
  <c r="H27" i="2"/>
  <c r="F27" i="2"/>
  <c r="A27" i="2"/>
  <c r="M26" i="2"/>
  <c r="J26" i="2"/>
  <c r="H26" i="2"/>
  <c r="F26" i="2"/>
  <c r="A26" i="2"/>
  <c r="M25" i="2"/>
  <c r="J25" i="2"/>
  <c r="H25" i="2"/>
  <c r="F25" i="2"/>
  <c r="A25" i="2"/>
  <c r="M24" i="2"/>
  <c r="J24" i="2"/>
  <c r="H24" i="2"/>
  <c r="F24" i="2"/>
  <c r="A24" i="2"/>
  <c r="M23" i="2"/>
  <c r="J23" i="2"/>
  <c r="H23" i="2"/>
  <c r="F23" i="2"/>
  <c r="A23" i="2"/>
  <c r="M22" i="2"/>
  <c r="J22" i="2"/>
  <c r="H22" i="2"/>
  <c r="F22" i="2"/>
  <c r="A22" i="2"/>
  <c r="M21" i="2"/>
  <c r="J21" i="2"/>
  <c r="H21" i="2"/>
  <c r="F21" i="2"/>
  <c r="A21" i="2"/>
  <c r="M20" i="2"/>
  <c r="J20" i="2"/>
  <c r="H20" i="2"/>
  <c r="F20" i="2"/>
  <c r="A20" i="2"/>
  <c r="M19" i="2"/>
  <c r="J19" i="2"/>
  <c r="H19" i="2"/>
  <c r="A19" i="2"/>
  <c r="M18" i="2"/>
  <c r="J18" i="2"/>
  <c r="H18" i="2"/>
  <c r="F18" i="2"/>
  <c r="A18" i="2"/>
  <c r="M17" i="2"/>
  <c r="J17" i="2"/>
  <c r="H17" i="2"/>
  <c r="F17" i="2"/>
  <c r="A17" i="2"/>
  <c r="M16" i="2"/>
  <c r="J16" i="2"/>
  <c r="H16" i="2"/>
  <c r="F16" i="2"/>
  <c r="A16" i="2"/>
  <c r="M15" i="2"/>
  <c r="J15" i="2"/>
  <c r="H15" i="2"/>
  <c r="F15" i="2"/>
  <c r="A15" i="2"/>
  <c r="M14" i="2"/>
  <c r="J14" i="2"/>
  <c r="H14" i="2"/>
  <c r="F14" i="2"/>
  <c r="A14" i="2"/>
  <c r="M13" i="2"/>
  <c r="J13" i="2"/>
  <c r="H13" i="2"/>
  <c r="F13" i="2"/>
  <c r="A13" i="2"/>
  <c r="J12" i="2"/>
  <c r="H12" i="2"/>
  <c r="F12" i="2"/>
  <c r="A12" i="2"/>
  <c r="M11" i="2"/>
  <c r="J11" i="2"/>
  <c r="H11" i="2"/>
  <c r="F11" i="2"/>
  <c r="A11" i="2"/>
  <c r="M10" i="2"/>
  <c r="J10" i="2"/>
  <c r="H10" i="2"/>
  <c r="F10" i="2"/>
  <c r="A10" i="2"/>
  <c r="M9" i="2"/>
  <c r="J9" i="2"/>
  <c r="H9" i="2"/>
  <c r="F9" i="2"/>
  <c r="A9" i="2"/>
  <c r="J8" i="2"/>
  <c r="H8" i="2"/>
  <c r="F8" i="2"/>
  <c r="A8" i="2"/>
  <c r="M7" i="2"/>
  <c r="J7" i="2"/>
  <c r="H7" i="2"/>
  <c r="F7" i="2"/>
  <c r="A7" i="2"/>
  <c r="J6" i="2"/>
  <c r="H6" i="2"/>
  <c r="F6" i="2"/>
  <c r="A6" i="2"/>
  <c r="M5" i="2"/>
  <c r="J5" i="2"/>
  <c r="H5" i="2"/>
  <c r="F5" i="2"/>
  <c r="A5" i="2"/>
  <c r="J4" i="2"/>
  <c r="H4" i="2"/>
  <c r="F4" i="2"/>
  <c r="A4" i="2"/>
  <c r="M3" i="2"/>
  <c r="J3" i="2"/>
  <c r="H3" i="2"/>
  <c r="F3" i="2"/>
  <c r="A3" i="2"/>
  <c r="N35" i="1"/>
  <c r="N33" i="1"/>
  <c r="M33" i="1"/>
  <c r="J33" i="1"/>
  <c r="J32" i="1"/>
  <c r="H32" i="1"/>
  <c r="A32" i="1"/>
  <c r="M31" i="1"/>
  <c r="J31" i="1"/>
  <c r="H31" i="1"/>
  <c r="A31" i="1"/>
  <c r="J30" i="1"/>
  <c r="H30" i="1"/>
  <c r="E30" i="1"/>
  <c r="A30" i="1"/>
  <c r="M29" i="1"/>
  <c r="J29" i="1"/>
  <c r="H29" i="1"/>
  <c r="A29" i="1"/>
  <c r="M28" i="1"/>
  <c r="J28" i="1"/>
  <c r="H28" i="1"/>
  <c r="A28" i="1"/>
  <c r="K27" i="1"/>
  <c r="J27" i="1"/>
  <c r="H27" i="1"/>
  <c r="A27" i="1"/>
  <c r="M26" i="1"/>
  <c r="J26" i="1"/>
  <c r="H26" i="1"/>
  <c r="A26" i="1"/>
  <c r="M25" i="1"/>
  <c r="J25" i="1"/>
  <c r="H25" i="1"/>
  <c r="A25" i="1"/>
  <c r="P24" i="1"/>
  <c r="M24" i="1"/>
  <c r="J24" i="1"/>
  <c r="H24" i="1"/>
  <c r="A24" i="1"/>
  <c r="M23" i="1"/>
  <c r="J23" i="1"/>
  <c r="H23" i="1"/>
  <c r="A23" i="1"/>
  <c r="M22" i="1"/>
  <c r="J22" i="1"/>
  <c r="H22" i="1"/>
  <c r="A22" i="1"/>
  <c r="M21" i="1"/>
  <c r="J21" i="1"/>
  <c r="H21" i="1"/>
  <c r="A21" i="1"/>
  <c r="M20" i="1"/>
  <c r="J20" i="1"/>
  <c r="H20" i="1"/>
  <c r="A20" i="1"/>
  <c r="M19" i="1"/>
  <c r="J19" i="1"/>
  <c r="H19" i="1"/>
  <c r="A19" i="1"/>
  <c r="M18" i="1"/>
  <c r="J18" i="1"/>
  <c r="H18" i="1"/>
  <c r="A18" i="1"/>
  <c r="M17" i="1"/>
  <c r="J17" i="1"/>
  <c r="H17" i="1"/>
  <c r="A17" i="1"/>
  <c r="M16" i="1"/>
  <c r="J16" i="1"/>
  <c r="H16" i="1"/>
  <c r="A16" i="1"/>
  <c r="M15" i="1"/>
  <c r="J15" i="1"/>
  <c r="H15" i="1"/>
  <c r="A15" i="1"/>
  <c r="M14" i="1"/>
  <c r="J14" i="1"/>
  <c r="H14" i="1"/>
  <c r="A14" i="1"/>
  <c r="M13" i="1"/>
  <c r="J13" i="1"/>
  <c r="H13" i="1"/>
  <c r="A13" i="1"/>
  <c r="J12" i="1"/>
  <c r="H12" i="1"/>
  <c r="A12" i="1"/>
  <c r="M11" i="1"/>
  <c r="J11" i="1"/>
  <c r="H11" i="1"/>
  <c r="A11" i="1"/>
  <c r="M10" i="1"/>
  <c r="J10" i="1"/>
  <c r="H10" i="1"/>
  <c r="A10" i="1"/>
  <c r="M9" i="1"/>
  <c r="J9" i="1"/>
  <c r="H9" i="1"/>
  <c r="A9" i="1"/>
  <c r="J8" i="1"/>
  <c r="H8" i="1"/>
  <c r="A8" i="1"/>
  <c r="M7" i="1"/>
  <c r="J7" i="1"/>
  <c r="H7" i="1"/>
  <c r="A7" i="1"/>
  <c r="J6" i="1"/>
  <c r="H6" i="1"/>
  <c r="A6" i="1"/>
  <c r="M5" i="1"/>
  <c r="J5" i="1"/>
  <c r="H5" i="1"/>
  <c r="A5" i="1"/>
  <c r="J4" i="1"/>
  <c r="H4" i="1"/>
  <c r="A4" i="1"/>
  <c r="M3" i="1"/>
  <c r="J3" i="1"/>
  <c r="H3" i="1"/>
  <c r="A3" i="1"/>
  <c r="R39" i="13"/>
  <c r="N38" i="13"/>
  <c r="P38" i="13"/>
  <c r="H38" i="13"/>
  <c r="J38" i="13"/>
  <c r="K38" i="13"/>
  <c r="N37" i="13"/>
  <c r="P37" i="13"/>
  <c r="H37" i="13"/>
  <c r="J37" i="13"/>
  <c r="K37" i="13"/>
  <c r="N36" i="13"/>
  <c r="P36" i="13"/>
  <c r="H36" i="13"/>
  <c r="J36" i="13"/>
  <c r="N35" i="13"/>
  <c r="P35" i="13"/>
  <c r="H35" i="13"/>
  <c r="J35" i="13"/>
  <c r="N34" i="13"/>
  <c r="P34" i="13"/>
  <c r="H34" i="13"/>
  <c r="J34" i="13"/>
  <c r="N33" i="13"/>
  <c r="P33" i="13"/>
  <c r="N32" i="13"/>
  <c r="P32" i="13"/>
  <c r="H32" i="13"/>
  <c r="J32" i="13"/>
  <c r="K32" i="13"/>
  <c r="N31" i="13"/>
  <c r="P31" i="13"/>
  <c r="H31" i="13"/>
  <c r="J31" i="13"/>
  <c r="K31" i="13"/>
  <c r="N30" i="13"/>
  <c r="P30" i="13"/>
  <c r="H30" i="13"/>
  <c r="J30" i="13"/>
  <c r="K30" i="13"/>
  <c r="N29" i="13"/>
  <c r="P29" i="13"/>
  <c r="H29" i="13"/>
  <c r="J29" i="13"/>
  <c r="K29" i="13"/>
  <c r="Q29" i="13"/>
  <c r="N28" i="13"/>
  <c r="P28" i="13"/>
  <c r="H28" i="13"/>
  <c r="J28" i="13"/>
  <c r="K28" i="13"/>
  <c r="N27" i="13"/>
  <c r="P27" i="13"/>
  <c r="H27" i="13"/>
  <c r="J27" i="13"/>
  <c r="K27" i="13"/>
  <c r="N26" i="13"/>
  <c r="P26" i="13"/>
  <c r="H26" i="13"/>
  <c r="J26" i="13"/>
  <c r="K26" i="13"/>
  <c r="N25" i="13"/>
  <c r="P25" i="13"/>
  <c r="H25" i="13"/>
  <c r="J25" i="13"/>
  <c r="K25" i="13"/>
  <c r="Q25" i="13"/>
  <c r="N24" i="13"/>
  <c r="P24" i="13"/>
  <c r="H24" i="13"/>
  <c r="J24" i="13"/>
  <c r="K24" i="13"/>
  <c r="Q24" i="13"/>
  <c r="N23" i="13"/>
  <c r="P23" i="13"/>
  <c r="H23" i="13"/>
  <c r="J23" i="13"/>
  <c r="K23" i="13"/>
  <c r="N22" i="13"/>
  <c r="P22" i="13"/>
  <c r="H22" i="13"/>
  <c r="J22" i="13"/>
  <c r="K22" i="13"/>
  <c r="Q22" i="13"/>
  <c r="N21" i="13"/>
  <c r="P21" i="13"/>
  <c r="H21" i="13"/>
  <c r="J21" i="13"/>
  <c r="K21" i="13"/>
  <c r="Q21" i="13"/>
  <c r="N20" i="13"/>
  <c r="P20" i="13"/>
  <c r="H20" i="13"/>
  <c r="J20" i="13"/>
  <c r="K20" i="13"/>
  <c r="N19" i="13"/>
  <c r="P19" i="13"/>
  <c r="H19" i="13"/>
  <c r="J19" i="13"/>
  <c r="N18" i="13"/>
  <c r="P18" i="13"/>
  <c r="H18" i="13"/>
  <c r="J18" i="13"/>
  <c r="N17" i="13"/>
  <c r="P17" i="13"/>
  <c r="H17" i="13"/>
  <c r="J17" i="13"/>
  <c r="K17" i="13"/>
  <c r="N16" i="13"/>
  <c r="P16" i="13"/>
  <c r="H16" i="13"/>
  <c r="J16" i="13"/>
  <c r="K16" i="13"/>
  <c r="N15" i="13"/>
  <c r="P15" i="13"/>
  <c r="H15" i="13"/>
  <c r="J15" i="13"/>
  <c r="K15" i="13"/>
  <c r="N14" i="13"/>
  <c r="P14" i="13"/>
  <c r="H14" i="13"/>
  <c r="J14" i="13"/>
  <c r="N13" i="13"/>
  <c r="P13" i="13"/>
  <c r="H13" i="13"/>
  <c r="J13" i="13"/>
  <c r="N12" i="13"/>
  <c r="P12" i="13"/>
  <c r="H12" i="13"/>
  <c r="J12" i="13"/>
  <c r="N11" i="13"/>
  <c r="H11" i="13"/>
  <c r="J11" i="13"/>
  <c r="K11" i="13"/>
  <c r="N10" i="13"/>
  <c r="P10" i="13"/>
  <c r="H10" i="13"/>
  <c r="J10" i="13"/>
  <c r="N9" i="13"/>
  <c r="P9" i="13"/>
  <c r="H9" i="13"/>
  <c r="J9" i="13"/>
  <c r="K9" i="13"/>
  <c r="Q9" i="13"/>
  <c r="N8" i="13"/>
  <c r="P8" i="13"/>
  <c r="H8" i="13"/>
  <c r="J8" i="13"/>
  <c r="N7" i="13"/>
  <c r="P7" i="13"/>
  <c r="H7" i="13"/>
  <c r="J7" i="13"/>
  <c r="K7" i="13"/>
  <c r="N6" i="13"/>
  <c r="P6" i="13"/>
  <c r="H6" i="13"/>
  <c r="J6" i="13"/>
  <c r="K6" i="13"/>
  <c r="N5" i="13"/>
  <c r="P5" i="13"/>
  <c r="H5" i="13"/>
  <c r="J5" i="13"/>
  <c r="N4" i="13"/>
  <c r="P4" i="13"/>
  <c r="H4" i="13"/>
  <c r="R35" i="15"/>
  <c r="R26" i="15"/>
  <c r="K38" i="15"/>
  <c r="R38" i="15"/>
  <c r="K40" i="15"/>
  <c r="R40" i="15"/>
  <c r="Q15" i="13"/>
  <c r="Q7" i="13"/>
  <c r="Q32" i="13"/>
  <c r="Q23" i="13"/>
  <c r="Q20" i="13"/>
  <c r="Q17" i="13"/>
  <c r="Q28" i="13"/>
  <c r="Q38" i="13"/>
  <c r="Q37" i="13"/>
  <c r="R23" i="15"/>
  <c r="K21" i="15"/>
  <c r="K15" i="15"/>
  <c r="K7" i="15"/>
  <c r="P33" i="15"/>
  <c r="N43" i="15"/>
  <c r="J33" i="15"/>
  <c r="H43" i="15"/>
  <c r="K4" i="15"/>
  <c r="Q31" i="13"/>
  <c r="Q6" i="13"/>
  <c r="K35" i="13"/>
  <c r="Q35" i="13"/>
  <c r="Q16" i="13"/>
  <c r="Q27" i="13"/>
  <c r="K18" i="13"/>
  <c r="Q18" i="13"/>
  <c r="Q30" i="13"/>
  <c r="Q26" i="13"/>
  <c r="K12" i="13"/>
  <c r="Q12" i="13"/>
  <c r="H39" i="13"/>
  <c r="J4" i="13"/>
  <c r="N39" i="13"/>
  <c r="P11" i="13"/>
  <c r="Q11" i="13"/>
  <c r="K33" i="15"/>
  <c r="J43" i="15"/>
  <c r="J39" i="13"/>
  <c r="K4" i="13"/>
  <c r="K39" i="13"/>
  <c r="Q4" i="13"/>
  <c r="Q39" i="13"/>
  <c r="R33" i="15"/>
  <c r="K43" i="15"/>
  <c r="K6" i="17" l="1"/>
  <c r="K26" i="17"/>
  <c r="K8" i="17"/>
  <c r="K38" i="17"/>
  <c r="R38" i="17" s="1"/>
  <c r="K20" i="17"/>
  <c r="P4" i="17"/>
  <c r="N41" i="17"/>
  <c r="K36" i="17"/>
  <c r="J4" i="17"/>
  <c r="H41" i="17"/>
  <c r="M3" i="10"/>
  <c r="M35" i="10" s="1"/>
  <c r="O35" i="10" s="1"/>
  <c r="J35" i="10"/>
  <c r="S48" i="15"/>
  <c r="S57" i="15" s="1"/>
  <c r="J3" i="12"/>
  <c r="H36" i="12"/>
  <c r="T43" i="15"/>
  <c r="N6" i="12"/>
  <c r="N8" i="12"/>
  <c r="N11" i="12"/>
  <c r="N17" i="12"/>
  <c r="K36" i="12"/>
  <c r="N3" i="12"/>
  <c r="K4" i="17" l="1"/>
  <c r="K41" i="17" s="1"/>
  <c r="J41" i="17"/>
  <c r="J36" i="12"/>
  <c r="N36" i="12"/>
</calcChain>
</file>

<file path=xl/sharedStrings.xml><?xml version="1.0" encoding="utf-8"?>
<sst xmlns="http://schemas.openxmlformats.org/spreadsheetml/2006/main" count="1286" uniqueCount="258">
  <si>
    <t>宏发再生资源市场2025年3月电费收费清单</t>
  </si>
  <si>
    <t>序号</t>
  </si>
  <si>
    <t>商户姓名</t>
  </si>
  <si>
    <t>分区</t>
  </si>
  <si>
    <t>电表编号</t>
  </si>
  <si>
    <t>本月电表底数</t>
  </si>
  <si>
    <t>上月电表底数</t>
  </si>
  <si>
    <t>倍率</t>
  </si>
  <si>
    <t>用电量</t>
  </si>
  <si>
    <t>单价</t>
  </si>
  <si>
    <t>电费合计</t>
  </si>
  <si>
    <t>补减项</t>
  </si>
  <si>
    <t>备注</t>
  </si>
  <si>
    <t>总计</t>
  </si>
  <si>
    <t>实收</t>
  </si>
  <si>
    <t>卯声平</t>
  </si>
  <si>
    <t>车间</t>
  </si>
  <si>
    <t>宿舍</t>
  </si>
  <si>
    <t>王银全</t>
  </si>
  <si>
    <t>SS101</t>
  </si>
  <si>
    <t>谢贤祥</t>
  </si>
  <si>
    <t>SS102</t>
  </si>
  <si>
    <t>王银福</t>
  </si>
  <si>
    <t>王文奇</t>
  </si>
  <si>
    <t>李兴平</t>
  </si>
  <si>
    <t>车间一</t>
  </si>
  <si>
    <t>车间二</t>
  </si>
  <si>
    <t>金耀</t>
  </si>
  <si>
    <t>代家超</t>
  </si>
  <si>
    <t>崔宇文</t>
  </si>
  <si>
    <t>购买钢筋欠款</t>
  </si>
  <si>
    <t>崔玉文</t>
  </si>
  <si>
    <t>祖维成</t>
  </si>
  <si>
    <t>崔大冲</t>
  </si>
  <si>
    <t>李世坤</t>
  </si>
  <si>
    <t>代家虎</t>
  </si>
  <si>
    <t>代家鹏</t>
  </si>
  <si>
    <t>代家俊</t>
  </si>
  <si>
    <t>崔汝波</t>
  </si>
  <si>
    <t>崔大洪</t>
  </si>
  <si>
    <t>CJ101</t>
  </si>
  <si>
    <t>崔大云</t>
  </si>
  <si>
    <t>CJ102</t>
  </si>
  <si>
    <t>冯成</t>
  </si>
  <si>
    <t>崔汝义</t>
  </si>
  <si>
    <t>抵除钢板欠款，欠：661.10</t>
  </si>
  <si>
    <t>崔文交</t>
  </si>
  <si>
    <t>马世平</t>
  </si>
  <si>
    <t>崔文洪</t>
  </si>
  <si>
    <t>苏清友</t>
  </si>
  <si>
    <t>施工</t>
  </si>
  <si>
    <t>合计：</t>
  </si>
  <si>
    <t>购买桶装水</t>
  </si>
  <si>
    <t>结余</t>
  </si>
  <si>
    <t>宏发再生资源市场2025年4月电费收费清单</t>
  </si>
  <si>
    <t>抵除钢板欠款</t>
  </si>
  <si>
    <t>支付饭钱：</t>
  </si>
  <si>
    <t>挖机烟钱</t>
  </si>
  <si>
    <t>余波华新烟钱</t>
  </si>
  <si>
    <t>鞋套+安全绳</t>
  </si>
  <si>
    <t>小蒋烟钱</t>
  </si>
  <si>
    <t>餐费(抢修电缆，晚餐两次)</t>
  </si>
  <si>
    <t>三月工资</t>
  </si>
  <si>
    <t>差额</t>
  </si>
  <si>
    <t>宏发再生资源市场2025年5月电费收费清单</t>
  </si>
  <si>
    <t>购买铁板</t>
  </si>
  <si>
    <t>桶装水：</t>
  </si>
  <si>
    <t>草酸：10*10kg</t>
  </si>
  <si>
    <t>大号垃圾袋：60只*21包</t>
  </si>
  <si>
    <t>电缆：3*185+2*95铝芯线46米</t>
  </si>
  <si>
    <t>宽带费：</t>
  </si>
  <si>
    <t>电费：</t>
  </si>
  <si>
    <t>变压器至苏总电缆沟清理：</t>
  </si>
  <si>
    <t>支出小计：</t>
  </si>
  <si>
    <t>差额：</t>
  </si>
  <si>
    <t>本月抄表电量</t>
  </si>
  <si>
    <t>上月抄表电量</t>
  </si>
  <si>
    <t>实际用电量</t>
  </si>
  <si>
    <t>电费金额</t>
  </si>
  <si>
    <t>表号</t>
  </si>
  <si>
    <t>食堂厨房</t>
  </si>
  <si>
    <t>食堂餐厅</t>
  </si>
  <si>
    <t>卯声平宿舍</t>
  </si>
  <si>
    <t>王银全车间</t>
  </si>
  <si>
    <t>王银全宿舍</t>
  </si>
  <si>
    <t>无</t>
  </si>
  <si>
    <t>2025年3月3日入住，3月17日入住，共两间300元每月。</t>
  </si>
  <si>
    <t>谢贤祥宿舍</t>
  </si>
  <si>
    <t>李兴平1</t>
  </si>
  <si>
    <t>李兴平2</t>
  </si>
  <si>
    <t>金     耀</t>
  </si>
  <si>
    <t>办公楼</t>
  </si>
  <si>
    <t>张祥恩</t>
  </si>
  <si>
    <t>磅房门卫</t>
  </si>
  <si>
    <t>深井泵</t>
  </si>
  <si>
    <t>增压泵</t>
  </si>
  <si>
    <t>商家总</t>
  </si>
  <si>
    <t>总  表</t>
  </si>
  <si>
    <t>钢筋做排污管支架，90公斤，2.6元每公斤，共234元</t>
  </si>
  <si>
    <t>冯    成</t>
  </si>
  <si>
    <t>消防泵</t>
  </si>
  <si>
    <t>槽钢做配电柜支架共72.5公斤，2.2元每公斤共159.5元</t>
  </si>
  <si>
    <t>苏清友施工</t>
  </si>
  <si>
    <t>苏清友车间</t>
  </si>
  <si>
    <t>宏发再生资源市场2025年6月水电费收费清单</t>
  </si>
  <si>
    <t>电费单价</t>
  </si>
  <si>
    <t>上月水表底数</t>
  </si>
  <si>
    <t>本月水表底数</t>
  </si>
  <si>
    <t>水费单价</t>
  </si>
  <si>
    <t>水费合计</t>
  </si>
  <si>
    <t>生活</t>
  </si>
  <si>
    <t>杨文仁</t>
  </si>
  <si>
    <t>餐费：</t>
  </si>
  <si>
    <t>方便米饭：</t>
  </si>
  <si>
    <t>2箱*36盒</t>
  </si>
  <si>
    <t>宏发再生资源市场2025年7月电费收费清单</t>
  </si>
  <si>
    <t>上月欠费</t>
  </si>
  <si>
    <t>报销：</t>
  </si>
  <si>
    <t>余波采购李兴平家防雨改造1吨水泥1车沙</t>
  </si>
  <si>
    <t>蒋安坤采购杨文仁家400A空开(二手)</t>
  </si>
  <si>
    <t>采购创峰电缆（300*3+150*2）*54米 铝芯电缆+镀锌线鼻子</t>
  </si>
  <si>
    <t>配电房门改造(活页、锁扣、挂锁)</t>
  </si>
  <si>
    <t>购买夜班晚餐方便面</t>
  </si>
  <si>
    <t>6月份电费</t>
  </si>
  <si>
    <t>税费</t>
  </si>
  <si>
    <t>宏发再生资源市场2025年8月电费收费清单</t>
  </si>
  <si>
    <t>代家静</t>
  </si>
  <si>
    <t>创峰建材</t>
  </si>
  <si>
    <t>施工用电</t>
  </si>
  <si>
    <t>垃圾运费16*380=6080</t>
  </si>
  <si>
    <t>夜班方便面104.9+65.9+83.9</t>
  </si>
  <si>
    <t>7月电费</t>
  </si>
  <si>
    <t>仓库隔间材料-余波</t>
  </si>
  <si>
    <t>仓库隔断工钱-余波</t>
  </si>
  <si>
    <t>桶装水-余波</t>
  </si>
  <si>
    <t>环评现场会议接待费（烟、矿泉水）-余波</t>
  </si>
  <si>
    <t>2025-8-20两个杂工拉创峰电缆装电箱-崔送文</t>
  </si>
  <si>
    <t>购买创峰空开-蒋安坤</t>
  </si>
  <si>
    <t>许总电柜钱</t>
  </si>
  <si>
    <t>王银福更换卷帘门3690+祖维成维修卷帘门换电机</t>
  </si>
  <si>
    <t>余额：</t>
  </si>
  <si>
    <t>宏发再生资源市场2025年9月电费收费清单</t>
  </si>
  <si>
    <t>崔文洪挖机装垃圾工钱</t>
  </si>
  <si>
    <t>桶装水10桶*7元</t>
  </si>
  <si>
    <t>8月代缴电费</t>
  </si>
  <si>
    <t>全铜并沟线夹*5（李兴平改造用）</t>
  </si>
  <si>
    <t>冯成彩钢瓦维修工钱</t>
  </si>
  <si>
    <t>冯成彩钢瓦维修租用升高车</t>
  </si>
  <si>
    <t>李兴平门口场地清理、树坑、厂区道路混凝土修复：杂工钱2人*180元*2天</t>
  </si>
  <si>
    <t>宽带充值</t>
  </si>
  <si>
    <t>值班晚饭方便食品62.9+52.9</t>
  </si>
  <si>
    <t>杨文仁：磨机房用电改造电缆电线及配件</t>
  </si>
  <si>
    <t>宏发再生资源市场2025年10月电费收费清单</t>
  </si>
  <si>
    <t>水费12元</t>
  </si>
  <si>
    <t>购买中性笔20支*2盒</t>
  </si>
  <si>
    <t>9月代缴电费</t>
  </si>
  <si>
    <t>取暖炉桌垫</t>
  </si>
  <si>
    <t>冯成彩钢瓦维修</t>
  </si>
  <si>
    <t>保洁申购橡胶手套*10</t>
  </si>
  <si>
    <t>卷帘门遥控器电池A23 12V 15粒</t>
  </si>
  <si>
    <t>双头监控摄像头</t>
  </si>
  <si>
    <t>许总家零散配件(互感器、线鼻子等：杨文仁及创峰)</t>
  </si>
  <si>
    <t>磅房监控用无线鼠标</t>
  </si>
  <si>
    <t>上月电费结转</t>
  </si>
  <si>
    <t>夜班方便食品（方便米饭*18）</t>
  </si>
  <si>
    <t>宏发再生资源市场2025年11月电费收费清单</t>
  </si>
  <si>
    <t>车间三</t>
  </si>
  <si>
    <t>120279</t>
  </si>
  <si>
    <t>.</t>
  </si>
  <si>
    <t>2025-12-13 挖机驾驶员工资</t>
  </si>
  <si>
    <t>2025-12-12 挖机驾驶员工资</t>
  </si>
  <si>
    <t>2025-12-10 挖机驾驶员工资</t>
  </si>
  <si>
    <t>10月代缴电费</t>
  </si>
  <si>
    <t>夜班方便食品（康师傅拌面*12+方便米饭*12盒）</t>
  </si>
  <si>
    <t>2025-12-11 挖机驾驶员路费</t>
  </si>
  <si>
    <t>2025-12-23 挖机驾驶员工资</t>
  </si>
  <si>
    <t>6条中支金腰带 270*6</t>
  </si>
  <si>
    <t>1497.6吨*4元</t>
  </si>
  <si>
    <t>桶装水7元*13桶</t>
  </si>
  <si>
    <t>2025-12-27 挖机驾驶员工资</t>
  </si>
  <si>
    <t>上月结转</t>
  </si>
  <si>
    <t>筛网用圆钢3300元*0.774吨+100元运费</t>
  </si>
  <si>
    <t>拉灰运费1497.6*7</t>
  </si>
  <si>
    <t>宏发再生资源市场2025年12月电费收费清单</t>
  </si>
  <si>
    <t>电费合计_</t>
  </si>
  <si>
    <t>实收_</t>
  </si>
  <si>
    <t>昭通煜成再生资源有限公司</t>
  </si>
  <si>
    <t>1969+80打包盒（12月起收）</t>
  </si>
  <si>
    <t>崔总转账发11月工资及朱良琦圆钢货款</t>
  </si>
  <si>
    <t>11月工资</t>
  </si>
  <si>
    <t>代缴11月电费</t>
  </si>
  <si>
    <t>1月12日午餐及奶茶</t>
  </si>
  <si>
    <t>洒水车球阀</t>
  </si>
  <si>
    <t>1月17,19号清扫厂内卫生3个人*180*2</t>
  </si>
  <si>
    <t>宏发再生资源市场2026年1月电费收费清单</t>
  </si>
  <si>
    <t>用水量</t>
  </si>
  <si>
    <t>华新垃圾往返路费</t>
    <phoneticPr fontId="22" type="noConversion"/>
  </si>
  <si>
    <t>厂区清扫杂工费1月17,19日</t>
    <phoneticPr fontId="22" type="noConversion"/>
  </si>
  <si>
    <t>厂区清扫杂工费1月25、2月1日，2月8日（3*180*3+180*1[配合蒋安坤拉电]）</t>
    <phoneticPr fontId="22" type="noConversion"/>
  </si>
  <si>
    <t>王银福新场地电力搭建电缆及电气配件</t>
    <phoneticPr fontId="22" type="noConversion"/>
  </si>
  <si>
    <t>小计：</t>
    <phoneticPr fontId="22" type="noConversion"/>
  </si>
  <si>
    <t>电费</t>
    <phoneticPr fontId="22" type="noConversion"/>
  </si>
  <si>
    <t>水费</t>
    <phoneticPr fontId="22" type="noConversion"/>
  </si>
  <si>
    <t>上次抄表</t>
    <phoneticPr fontId="22" type="noConversion"/>
  </si>
  <si>
    <t>本次抄表</t>
    <phoneticPr fontId="22" type="noConversion"/>
  </si>
  <si>
    <t>本月抄表</t>
    <phoneticPr fontId="22" type="noConversion"/>
  </si>
  <si>
    <t>上月抄表</t>
    <phoneticPr fontId="22" type="noConversion"/>
  </si>
  <si>
    <t>小计</t>
    <phoneticPr fontId="22" type="noConversion"/>
  </si>
  <si>
    <t>合计</t>
    <phoneticPr fontId="22" type="noConversion"/>
  </si>
  <si>
    <t>单价</t>
    <phoneticPr fontId="22" type="noConversion"/>
  </si>
  <si>
    <t>商户姓名</t>
    <phoneticPr fontId="22" type="noConversion"/>
  </si>
  <si>
    <t>分区</t>
    <phoneticPr fontId="22" type="noConversion"/>
  </si>
  <si>
    <t>崔宇文轨道钢286kg+257kg</t>
    <phoneticPr fontId="22" type="noConversion"/>
  </si>
  <si>
    <t>崔玉文工字钢1420kg</t>
    <phoneticPr fontId="22" type="noConversion"/>
  </si>
  <si>
    <t>李世坤工字钢579kg</t>
    <phoneticPr fontId="22" type="noConversion"/>
  </si>
  <si>
    <t>无</t>
    <phoneticPr fontId="22" type="noConversion"/>
  </si>
  <si>
    <t>杨华垃圾车停放误工费</t>
    <phoneticPr fontId="22" type="noConversion"/>
  </si>
  <si>
    <t>2025年12月电费</t>
    <phoneticPr fontId="22" type="noConversion"/>
  </si>
  <si>
    <t>车间</t>
    <phoneticPr fontId="22" type="noConversion"/>
  </si>
  <si>
    <t>121779</t>
    <phoneticPr fontId="22" type="noConversion"/>
  </si>
  <si>
    <t>过磅小票热敏打印纸</t>
    <phoneticPr fontId="22" type="noConversion"/>
  </si>
  <si>
    <t>差额</t>
    <phoneticPr fontId="22" type="noConversion"/>
  </si>
  <si>
    <t>宏发再生资源市场2026年2月电费收费清单</t>
    <phoneticPr fontId="22" type="noConversion"/>
  </si>
  <si>
    <t>施工</t>
    <phoneticPr fontId="22" type="noConversion"/>
  </si>
  <si>
    <t>食堂1</t>
    <phoneticPr fontId="22" type="noConversion"/>
  </si>
  <si>
    <t>食堂2</t>
    <phoneticPr fontId="22" type="noConversion"/>
  </si>
  <si>
    <t>上月欠缴</t>
    <phoneticPr fontId="22" type="noConversion"/>
  </si>
  <si>
    <t>2026年1月电费</t>
    <phoneticPr fontId="22" type="noConversion"/>
  </si>
  <si>
    <t>2026-3-16 午餐晚餐</t>
    <phoneticPr fontId="22" type="noConversion"/>
  </si>
  <si>
    <t>上月电费结转</t>
    <phoneticPr fontId="22" type="noConversion"/>
  </si>
  <si>
    <t>崔文洪购买柴油至崔宇文挖机</t>
    <phoneticPr fontId="22" type="noConversion"/>
  </si>
  <si>
    <t>1355餐费+80饭盒</t>
    <phoneticPr fontId="22" type="noConversion"/>
  </si>
  <si>
    <t>1855+80打包盒（12月起收）</t>
    <phoneticPr fontId="22" type="noConversion"/>
  </si>
  <si>
    <t>宽带充值</t>
    <phoneticPr fontId="22" type="noConversion"/>
  </si>
  <si>
    <t>崔总报账</t>
    <phoneticPr fontId="22" type="noConversion"/>
  </si>
  <si>
    <t>135407</t>
    <phoneticPr fontId="22" type="noConversion"/>
  </si>
  <si>
    <t>TraeAPI</t>
    <phoneticPr fontId="22" type="noConversion"/>
  </si>
  <si>
    <t>草酸 50斤*3桶</t>
    <phoneticPr fontId="22" type="noConversion"/>
  </si>
  <si>
    <t>正泰NS2-80B AU11 25-40A 40-63A 深井泵用断路器</t>
    <phoneticPr fontId="22" type="noConversion"/>
  </si>
  <si>
    <t>小蒋申购T型刀片BS310019*5盒</t>
    <phoneticPr fontId="22" type="noConversion"/>
  </si>
  <si>
    <t>小蒋申购波斯钢丝钳7寸</t>
    <phoneticPr fontId="22" type="noConversion"/>
  </si>
  <si>
    <t>新车间</t>
    <phoneticPr fontId="22" type="noConversion"/>
  </si>
  <si>
    <t>134770</t>
    <phoneticPr fontId="22" type="noConversion"/>
  </si>
  <si>
    <t>宿舍</t>
    <phoneticPr fontId="22" type="noConversion"/>
  </si>
  <si>
    <t>无</t>
    <phoneticPr fontId="22" type="noConversion"/>
  </si>
  <si>
    <t>1</t>
    <phoneticPr fontId="22" type="noConversion"/>
  </si>
  <si>
    <t>崔文洪</t>
    <phoneticPr fontId="22" type="noConversion"/>
  </si>
  <si>
    <t>134773</t>
    <phoneticPr fontId="22" type="noConversion"/>
  </si>
  <si>
    <t>宏发再生资源市场2026年3月电费收费清单</t>
    <phoneticPr fontId="22" type="noConversion"/>
  </si>
  <si>
    <t>三月份扫地杂工：2月15号：3个工、3月8号：3个工、3月15号：3个工、3月22号：3个工、3月29号：3个工、总9个工：180×15=2700</t>
    <phoneticPr fontId="22" type="noConversion"/>
  </si>
  <si>
    <t>二月电费</t>
    <phoneticPr fontId="22" type="noConversion"/>
  </si>
  <si>
    <t>上月电费结转</t>
    <phoneticPr fontId="22" type="noConversion"/>
  </si>
  <si>
    <t>赔偿崔宇文过磅差额</t>
    <phoneticPr fontId="22" type="noConversion"/>
  </si>
  <si>
    <t>赵庆昌 191.7</t>
    <phoneticPr fontId="22" type="noConversion"/>
  </si>
  <si>
    <t>余波：21桶水21*7=147 20把竹扫把20*7=140元</t>
    <phoneticPr fontId="22" type="noConversion"/>
  </si>
  <si>
    <t>蒋安坤购买水泵空开</t>
    <phoneticPr fontId="22" type="noConversion"/>
  </si>
  <si>
    <t>135851</t>
    <phoneticPr fontId="22" type="noConversion"/>
  </si>
  <si>
    <t>火山引擎Coding plan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</si>
</sst>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&quot;¥&quot;#,##0.00_);[Red]\(&quot;¥&quot;#,##0.00\)"/>
    <numFmt numFmtId="177" formatCode="_ \¥* #,##0.00_ ;_ \¥* \-#,##0.00_ ;_ \¥* &quot;-&quot;??_ ;_ @_ "/>
    <numFmt numFmtId="178" formatCode="\¥#,##0.00_);[Red]\(\¥#,##0.00\)"/>
    <numFmt numFmtId="179" formatCode="_ * #,##0_ ;_ * \-#,##0_ ;_ * &quot;-&quot;??_ ;_ @_ "/>
    <numFmt numFmtId="180" formatCode="0.00_);[Red]\(0.00\)"/>
  </numFmts>
  <fonts count="28">
    <font>
      <sz val="11"/>
      <name val="等线"/>
      <charset val="134"/>
    </font>
    <font>
      <sz val="12"/>
      <color rgb="FF000000"/>
      <name val="阿里妈妈方圆体 VF"/>
      <family val="3"/>
      <charset val="134"/>
    </font>
    <font>
      <sz val="11"/>
      <color rgb="FF000000"/>
      <name val="阿里妈妈方圆体 VF"/>
      <family val="3"/>
      <charset val="134"/>
    </font>
    <font>
      <b/>
      <sz val="18"/>
      <color theme="3" tint="0.249977111117893"/>
      <name val="阿里妈妈方圆体 VF"/>
      <family val="3"/>
      <charset val="134"/>
    </font>
    <font>
      <b/>
      <sz val="16"/>
      <color rgb="FF4874CB"/>
      <name val="阿里妈妈方圆体 VF"/>
      <family val="3"/>
      <charset val="134"/>
    </font>
    <font>
      <b/>
      <sz val="12"/>
      <color rgb="FFFFFFFF"/>
      <name val="阿里妈妈方圆体 VF"/>
      <family val="3"/>
      <charset val="134"/>
    </font>
    <font>
      <b/>
      <sz val="12"/>
      <color rgb="FF000000"/>
      <name val="阿里妈妈方圆体 VF"/>
      <family val="3"/>
      <charset val="134"/>
    </font>
    <font>
      <b/>
      <sz val="12"/>
      <color rgb="FF4874CB"/>
      <name val="阿里妈妈方圆体 VF"/>
      <family val="3"/>
      <charset val="134"/>
    </font>
    <font>
      <b/>
      <sz val="16"/>
      <color rgb="FFFFFFFF"/>
      <name val="阿里妈妈方圆体 VF"/>
      <family val="3"/>
      <charset val="134"/>
    </font>
    <font>
      <b/>
      <sz val="11"/>
      <color rgb="FF000000"/>
      <name val="阿里妈妈方圆体 VF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FFFFFF"/>
      <name val="阿里妈妈方圆体 VF"/>
      <family val="3"/>
      <charset val="134"/>
    </font>
    <font>
      <sz val="16"/>
      <color rgb="FF000000"/>
      <name val="阿里妈妈方圆体 VF"/>
      <family val="3"/>
      <charset val="134"/>
    </font>
    <font>
      <b/>
      <sz val="12"/>
      <name val="阿里妈妈方圆体 VF"/>
      <family val="3"/>
      <charset val="134"/>
    </font>
    <font>
      <b/>
      <sz val="12"/>
      <color rgb="FF000000"/>
      <name val="等线"/>
      <family val="3"/>
      <charset val="134"/>
    </font>
    <font>
      <b/>
      <sz val="12"/>
      <color rgb="FFE49EDD"/>
      <name val="等线"/>
      <family val="3"/>
      <charset val="134"/>
    </font>
    <font>
      <sz val="12"/>
      <color rgb="FFE49EDD"/>
      <name val="等线"/>
      <family val="3"/>
      <charset val="134"/>
    </font>
    <font>
      <b/>
      <sz val="14"/>
      <color rgb="FF000000"/>
      <name val="等线"/>
      <family val="3"/>
      <charset val="134"/>
    </font>
    <font>
      <sz val="14"/>
      <color rgb="FF000000"/>
      <name val="等线"/>
      <family val="3"/>
      <charset val="134"/>
    </font>
    <font>
      <sz val="12"/>
      <color rgb="FFF2CEEF"/>
      <name val="等线"/>
      <family val="3"/>
      <charset val="134"/>
    </font>
    <font>
      <sz val="11"/>
      <color rgb="FFFF0000"/>
      <name val="阿里妈妈方圆体 VF"/>
      <family val="3"/>
      <charset val="134"/>
    </font>
    <font>
      <sz val="9"/>
      <name val="等线"/>
      <family val="3"/>
      <charset val="134"/>
    </font>
    <font>
      <b/>
      <sz val="12"/>
      <color theme="4" tint="-0.499984740745262"/>
      <name val="阿里妈妈方圆体 VF"/>
      <family val="3"/>
      <charset val="134"/>
    </font>
    <font>
      <sz val="12"/>
      <color theme="4" tint="-0.499984740745262"/>
      <name val="阿里妈妈方圆体 VF"/>
      <family val="3"/>
      <charset val="134"/>
    </font>
    <font>
      <sz val="12"/>
      <color rgb="FF000000"/>
      <name val="阿里妈妈方圆体 VF"/>
      <family val="3"/>
      <charset val="134"/>
    </font>
    <font>
      <b/>
      <sz val="12"/>
      <color rgb="FF000000"/>
      <name val="阿里妈妈方圆体 VF"/>
      <family val="3"/>
      <charset val="134"/>
    </font>
    <font>
      <b/>
      <sz val="12"/>
      <color rgb="FFFFFFFF"/>
      <name val="阿里妈妈方圆体 VF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ECF1F9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004A7C"/>
        <bgColor indexed="64"/>
      </patternFill>
    </fill>
    <fill>
      <patternFill patternType="solid">
        <fgColor rgb="FFCEDB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FA7E4"/>
        <bgColor indexed="64"/>
      </patternFill>
    </fill>
    <fill>
      <patternFill patternType="solid">
        <fgColor rgb="FFD9D9D9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4A7C"/>
      </left>
      <right/>
      <top style="thin">
        <color rgb="FF004A7C"/>
      </top>
      <bottom style="dashed">
        <color rgb="FFDDDDDD"/>
      </bottom>
      <diagonal/>
    </border>
    <border>
      <left/>
      <right/>
      <top style="thin">
        <color rgb="FF004A7C"/>
      </top>
      <bottom style="dashed">
        <color rgb="FFDDDDDD"/>
      </bottom>
      <diagonal/>
    </border>
    <border>
      <left/>
      <right style="thin">
        <color rgb="FF004A7C"/>
      </right>
      <top style="thin">
        <color rgb="FF004A7C"/>
      </top>
      <bottom style="dashed">
        <color rgb="FFDDDDDD"/>
      </bottom>
      <diagonal/>
    </border>
    <border>
      <left style="thin">
        <color rgb="FF004A7C"/>
      </left>
      <right/>
      <top style="dashed">
        <color rgb="FFDDDDDD"/>
      </top>
      <bottom style="thin">
        <color rgb="FF004A7C"/>
      </bottom>
      <diagonal/>
    </border>
    <border>
      <left/>
      <right/>
      <top style="dashed">
        <color rgb="FFDDDDDD"/>
      </top>
      <bottom style="thin">
        <color rgb="FF004A7C"/>
      </bottom>
      <diagonal/>
    </border>
    <border>
      <left/>
      <right style="thin">
        <color rgb="FF004A7C"/>
      </right>
      <top style="dashed">
        <color rgb="FFDDDDDD"/>
      </top>
      <bottom style="thin">
        <color rgb="FF004A7C"/>
      </bottom>
      <diagonal/>
    </border>
    <border>
      <left style="thin">
        <color auto="1"/>
      </left>
      <right style="thin">
        <color auto="1"/>
      </right>
      <top style="thin">
        <color rgb="FF004A7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4A7C"/>
      </left>
      <right/>
      <top/>
      <bottom style="dashed">
        <color rgb="FFDDDDDD"/>
      </bottom>
      <diagonal/>
    </border>
    <border>
      <left/>
      <right/>
      <top/>
      <bottom style="dashed">
        <color rgb="FFDDDDDD"/>
      </bottom>
      <diagonal/>
    </border>
    <border>
      <left/>
      <right style="thin">
        <color rgb="FF004A7C"/>
      </right>
      <top/>
      <bottom style="dashed">
        <color rgb="FFDDDDDD"/>
      </bottom>
      <diagonal/>
    </border>
    <border>
      <left style="thin">
        <color rgb="FF004A7C"/>
      </left>
      <right/>
      <top style="dashed">
        <color rgb="FFDDDDDD"/>
      </top>
      <bottom/>
      <diagonal/>
    </border>
    <border>
      <left/>
      <right/>
      <top style="dashed">
        <color rgb="FFDDDDDD"/>
      </top>
      <bottom/>
      <diagonal/>
    </border>
    <border>
      <left/>
      <right style="thin">
        <color rgb="FF004A7C"/>
      </right>
      <top style="dashed">
        <color rgb="FFDDDDDD"/>
      </top>
      <bottom style="dashed">
        <color rgb="FFDDDDDD"/>
      </bottom>
      <diagonal/>
    </border>
    <border>
      <left/>
      <right/>
      <top style="dashed">
        <color rgb="FFDDDDDD"/>
      </top>
      <bottom style="dashed">
        <color rgb="FFDDDDDD"/>
      </bottom>
      <diagonal/>
    </border>
    <border>
      <left style="thin">
        <color rgb="FF004A7C"/>
      </left>
      <right/>
      <top/>
      <bottom/>
      <diagonal/>
    </border>
    <border>
      <left style="thin">
        <color rgb="FF004A7C"/>
      </left>
      <right/>
      <top/>
      <bottom style="thin">
        <color auto="1"/>
      </bottom>
      <diagonal/>
    </border>
    <border>
      <left/>
      <right style="thin">
        <color rgb="FF004A7C"/>
      </right>
      <top style="dashed">
        <color rgb="FFDDDDDD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4A7C"/>
      </top>
      <bottom/>
      <diagonal/>
    </border>
    <border>
      <left style="thin">
        <color rgb="FF004A7C"/>
      </left>
      <right/>
      <top style="dashed">
        <color rgb="FFDDDDDD"/>
      </top>
      <bottom style="dashed">
        <color rgb="FFDDDDDD"/>
      </bottom>
      <diagonal/>
    </border>
    <border>
      <left/>
      <right style="thin">
        <color rgb="FF004A7C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/>
      <top/>
      <bottom style="thin">
        <color auto="1"/>
      </bottom>
      <diagonal/>
    </border>
    <border>
      <left style="medium">
        <color rgb="FFFFFFFF"/>
      </left>
      <right/>
      <top style="thin">
        <color auto="1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>
      <alignment vertical="center"/>
    </xf>
    <xf numFmtId="177" fontId="11" fillId="0" borderId="0">
      <protection locked="0"/>
    </xf>
  </cellStyleXfs>
  <cellXfs count="69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3" fontId="2" fillId="0" borderId="0" xfId="0" applyNumberFormat="1" applyFont="1" applyAlignment="1">
      <alignment horizontal="right" vertical="center"/>
    </xf>
    <xf numFmtId="43" fontId="2" fillId="0" borderId="0" xfId="0" applyNumberFormat="1" applyFo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43" fontId="7" fillId="0" borderId="0" xfId="0" applyNumberFormat="1" applyFont="1" applyAlignment="1">
      <alignment horizontal="right" vertical="center"/>
    </xf>
    <xf numFmtId="43" fontId="7" fillId="0" borderId="0" xfId="0" applyNumberFormat="1" applyFont="1">
      <alignment vertical="center"/>
    </xf>
    <xf numFmtId="179" fontId="7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7" fontId="7" fillId="0" borderId="0" xfId="0" applyNumberFormat="1" applyFont="1" applyAlignment="1">
      <alignment horizontal="right" vertical="center"/>
    </xf>
    <xf numFmtId="177" fontId="7" fillId="0" borderId="0" xfId="0" applyNumberFormat="1" applyFont="1" applyAlignment="1">
      <alignment horizontal="center" vertical="center" wrapText="1"/>
    </xf>
    <xf numFmtId="177" fontId="1" fillId="6" borderId="3" xfId="0" applyNumberFormat="1" applyFont="1" applyFill="1" applyBorder="1">
      <alignment vertical="center"/>
    </xf>
    <xf numFmtId="177" fontId="1" fillId="7" borderId="3" xfId="0" applyNumberFormat="1" applyFont="1" applyFill="1" applyBorder="1">
      <alignment vertical="center"/>
    </xf>
    <xf numFmtId="177" fontId="6" fillId="7" borderId="3" xfId="0" applyNumberFormat="1" applyFont="1" applyFill="1" applyBorder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43" fontId="1" fillId="0" borderId="0" xfId="0" applyNumberFormat="1" applyFont="1" applyAlignment="1">
      <alignment horizontal="right" vertical="center"/>
    </xf>
    <xf numFmtId="43" fontId="1" fillId="0" borderId="0" xfId="0" applyNumberFormat="1" applyFont="1">
      <alignment vertical="center"/>
    </xf>
    <xf numFmtId="0" fontId="2" fillId="5" borderId="0" xfId="0" applyFont="1" applyFill="1">
      <alignment vertical="center"/>
    </xf>
    <xf numFmtId="49" fontId="2" fillId="0" borderId="0" xfId="0" applyNumberFormat="1" applyFont="1" applyAlignment="1">
      <alignment horizontal="center" vertical="center"/>
    </xf>
    <xf numFmtId="0" fontId="8" fillId="8" borderId="9" xfId="0" applyFont="1" applyFill="1" applyBorder="1">
      <alignment vertical="center"/>
    </xf>
    <xf numFmtId="0" fontId="8" fillId="8" borderId="10" xfId="0" applyFont="1" applyFill="1" applyBorder="1">
      <alignment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49" fontId="5" fillId="8" borderId="12" xfId="0" applyNumberFormat="1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49" fontId="10" fillId="5" borderId="14" xfId="0" applyNumberFormat="1" applyFont="1" applyFill="1" applyBorder="1" applyAlignment="1">
      <alignment horizontal="center" vertical="center"/>
    </xf>
    <xf numFmtId="180" fontId="11" fillId="5" borderId="14" xfId="0" applyNumberFormat="1" applyFont="1" applyFill="1" applyBorder="1" applyAlignment="1">
      <alignment horizontal="right" vertical="center"/>
    </xf>
    <xf numFmtId="0" fontId="2" fillId="5" borderId="14" xfId="0" applyFont="1" applyFill="1" applyBorder="1" applyAlignment="1">
      <alignment horizontal="right" vertical="center"/>
    </xf>
    <xf numFmtId="178" fontId="2" fillId="5" borderId="14" xfId="0" applyNumberFormat="1" applyFont="1" applyFill="1" applyBorder="1" applyAlignment="1">
      <alignment horizontal="right" vertical="center"/>
    </xf>
    <xf numFmtId="177" fontId="2" fillId="5" borderId="14" xfId="1" applyFont="1" applyFill="1" applyBorder="1" applyAlignment="1" applyProtection="1">
      <alignment vertical="center"/>
    </xf>
    <xf numFmtId="0" fontId="2" fillId="5" borderId="14" xfId="0" applyFont="1" applyFill="1" applyBorder="1">
      <alignment vertical="center"/>
    </xf>
    <xf numFmtId="0" fontId="2" fillId="5" borderId="15" xfId="0" applyFont="1" applyFill="1" applyBorder="1" applyAlignment="1">
      <alignment horizontal="center" vertical="center"/>
    </xf>
    <xf numFmtId="49" fontId="10" fillId="5" borderId="15" xfId="0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right" vertical="center"/>
    </xf>
    <xf numFmtId="0" fontId="2" fillId="5" borderId="15" xfId="0" applyFont="1" applyFill="1" applyBorder="1" applyAlignment="1">
      <alignment horizontal="right" vertical="center"/>
    </xf>
    <xf numFmtId="178" fontId="2" fillId="5" borderId="15" xfId="0" applyNumberFormat="1" applyFont="1" applyFill="1" applyBorder="1" applyAlignment="1">
      <alignment horizontal="right" vertical="center"/>
    </xf>
    <xf numFmtId="177" fontId="2" fillId="5" borderId="15" xfId="1" applyFont="1" applyFill="1" applyBorder="1" applyAlignment="1" applyProtection="1">
      <alignment vertical="center"/>
    </xf>
    <xf numFmtId="0" fontId="2" fillId="5" borderId="15" xfId="0" applyFont="1" applyFill="1" applyBorder="1">
      <alignment vertical="center"/>
    </xf>
    <xf numFmtId="177" fontId="2" fillId="5" borderId="15" xfId="0" applyNumberFormat="1" applyFont="1" applyFill="1" applyBorder="1" applyAlignment="1">
      <alignment horizontal="right" vertical="center"/>
    </xf>
    <xf numFmtId="177" fontId="2" fillId="5" borderId="15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right" vertical="center"/>
    </xf>
    <xf numFmtId="180" fontId="11" fillId="0" borderId="15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178" fontId="2" fillId="0" borderId="15" xfId="0" applyNumberFormat="1" applyFont="1" applyBorder="1" applyAlignment="1">
      <alignment horizontal="right" vertical="center"/>
    </xf>
    <xf numFmtId="177" fontId="2" fillId="0" borderId="15" xfId="1" applyFont="1" applyBorder="1" applyAlignment="1" applyProtection="1">
      <alignment vertical="center"/>
    </xf>
    <xf numFmtId="0" fontId="2" fillId="0" borderId="15" xfId="0" applyFont="1" applyBorder="1">
      <alignment vertical="center"/>
    </xf>
    <xf numFmtId="177" fontId="2" fillId="0" borderId="15" xfId="0" applyNumberFormat="1" applyFont="1" applyBorder="1" applyAlignment="1">
      <alignment horizontal="center" vertical="center"/>
    </xf>
    <xf numFmtId="178" fontId="2" fillId="0" borderId="0" xfId="0" applyNumberFormat="1" applyFont="1">
      <alignment vertical="center"/>
    </xf>
    <xf numFmtId="0" fontId="9" fillId="5" borderId="15" xfId="0" applyFont="1" applyFill="1" applyBorder="1" applyAlignment="1">
      <alignment horizontal="center" vertical="center"/>
    </xf>
    <xf numFmtId="49" fontId="2" fillId="5" borderId="15" xfId="0" applyNumberFormat="1" applyFont="1" applyFill="1" applyBorder="1" applyAlignment="1">
      <alignment horizontal="center" vertical="center"/>
    </xf>
    <xf numFmtId="177" fontId="2" fillId="5" borderId="15" xfId="0" applyNumberFormat="1" applyFont="1" applyFill="1" applyBorder="1">
      <alignment vertical="center"/>
    </xf>
    <xf numFmtId="49" fontId="10" fillId="0" borderId="15" xfId="0" applyNumberFormat="1" applyFont="1" applyBorder="1" applyAlignment="1">
      <alignment horizontal="center" vertical="center" wrapText="1"/>
    </xf>
    <xf numFmtId="177" fontId="2" fillId="0" borderId="15" xfId="0" applyNumberFormat="1" applyFont="1" applyBorder="1">
      <alignment vertical="center"/>
    </xf>
    <xf numFmtId="14" fontId="2" fillId="0" borderId="0" xfId="0" applyNumberFormat="1" applyFont="1">
      <alignment vertical="center"/>
    </xf>
    <xf numFmtId="0" fontId="10" fillId="5" borderId="15" xfId="0" applyFont="1" applyFill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horizontal="center" vertical="center"/>
    </xf>
    <xf numFmtId="178" fontId="2" fillId="5" borderId="0" xfId="0" applyNumberFormat="1" applyFont="1" applyFill="1">
      <alignment vertical="center"/>
    </xf>
    <xf numFmtId="177" fontId="2" fillId="5" borderId="0" xfId="0" applyNumberFormat="1" applyFont="1" applyFill="1">
      <alignment vertical="center"/>
    </xf>
    <xf numFmtId="0" fontId="10" fillId="0" borderId="15" xfId="0" applyFont="1" applyBorder="1" applyAlignment="1">
      <alignment horizontal="right" vertical="center" wrapText="1"/>
    </xf>
    <xf numFmtId="49" fontId="10" fillId="5" borderId="15" xfId="0" applyNumberFormat="1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right" vertical="center" wrapText="1"/>
    </xf>
    <xf numFmtId="14" fontId="2" fillId="5" borderId="0" xfId="0" applyNumberFormat="1" applyFont="1" applyFill="1">
      <alignment vertical="center"/>
    </xf>
    <xf numFmtId="0" fontId="12" fillId="0" borderId="0" xfId="0" applyFont="1">
      <alignment vertical="center"/>
    </xf>
    <xf numFmtId="49" fontId="2" fillId="0" borderId="15" xfId="0" applyNumberFormat="1" applyFont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9" fillId="9" borderId="15" xfId="0" applyFont="1" applyFill="1" applyBorder="1">
      <alignment vertical="center"/>
    </xf>
    <xf numFmtId="178" fontId="9" fillId="10" borderId="15" xfId="0" applyNumberFormat="1" applyFont="1" applyFill="1" applyBorder="1">
      <alignment vertical="center"/>
    </xf>
    <xf numFmtId="177" fontId="9" fillId="10" borderId="15" xfId="0" applyNumberFormat="1" applyFont="1" applyFill="1" applyBorder="1" applyAlignment="1">
      <alignment horizontal="right" vertical="center"/>
    </xf>
    <xf numFmtId="177" fontId="2" fillId="10" borderId="17" xfId="0" applyNumberFormat="1" applyFont="1" applyFill="1" applyBorder="1">
      <alignment vertical="center"/>
    </xf>
    <xf numFmtId="177" fontId="2" fillId="10" borderId="18" xfId="0" applyNumberFormat="1" applyFont="1" applyFill="1" applyBorder="1">
      <alignment vertical="center"/>
    </xf>
    <xf numFmtId="177" fontId="2" fillId="10" borderId="22" xfId="0" applyNumberFormat="1" applyFont="1" applyFill="1" applyBorder="1">
      <alignment vertical="center"/>
    </xf>
    <xf numFmtId="177" fontId="2" fillId="10" borderId="21" xfId="0" applyNumberFormat="1" applyFont="1" applyFill="1" applyBorder="1">
      <alignment vertical="center"/>
    </xf>
    <xf numFmtId="177" fontId="2" fillId="10" borderId="20" xfId="0" applyNumberFormat="1" applyFont="1" applyFill="1" applyBorder="1">
      <alignment vertical="center"/>
    </xf>
    <xf numFmtId="177" fontId="2" fillId="10" borderId="25" xfId="0" applyNumberFormat="1" applyFont="1" applyFill="1" applyBorder="1">
      <alignment vertical="center"/>
    </xf>
    <xf numFmtId="177" fontId="9" fillId="10" borderId="28" xfId="0" applyNumberFormat="1" applyFont="1" applyFill="1" applyBorder="1">
      <alignment vertical="center"/>
    </xf>
    <xf numFmtId="177" fontId="9" fillId="10" borderId="15" xfId="0" applyNumberFormat="1" applyFont="1" applyFill="1" applyBorder="1">
      <alignment vertical="center"/>
    </xf>
    <xf numFmtId="0" fontId="2" fillId="5" borderId="18" xfId="0" applyFont="1" applyFill="1" applyBorder="1" applyAlignment="1">
      <alignment horizontal="center" vertical="center"/>
    </xf>
    <xf numFmtId="49" fontId="10" fillId="5" borderId="17" xfId="0" applyNumberFormat="1" applyFont="1" applyFill="1" applyBorder="1" applyAlignment="1">
      <alignment horizontal="center" vertical="center"/>
    </xf>
    <xf numFmtId="180" fontId="11" fillId="5" borderId="17" xfId="0" applyNumberFormat="1" applyFont="1" applyFill="1" applyBorder="1" applyAlignment="1">
      <alignment horizontal="right" vertical="center"/>
    </xf>
    <xf numFmtId="0" fontId="2" fillId="5" borderId="17" xfId="0" applyFont="1" applyFill="1" applyBorder="1" applyAlignment="1">
      <alignment horizontal="right" vertical="center"/>
    </xf>
    <xf numFmtId="178" fontId="2" fillId="5" borderId="17" xfId="0" applyNumberFormat="1" applyFont="1" applyFill="1" applyBorder="1" applyAlignment="1">
      <alignment horizontal="right" vertical="center"/>
    </xf>
    <xf numFmtId="177" fontId="2" fillId="5" borderId="17" xfId="1" applyFont="1" applyFill="1" applyBorder="1" applyAlignment="1" applyProtection="1">
      <alignment vertical="center"/>
    </xf>
    <xf numFmtId="0" fontId="2" fillId="5" borderId="17" xfId="0" applyFont="1" applyFill="1" applyBorder="1">
      <alignment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49" fontId="10" fillId="5" borderId="22" xfId="0" applyNumberFormat="1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right" vertical="center"/>
    </xf>
    <xf numFmtId="0" fontId="2" fillId="5" borderId="22" xfId="0" applyFont="1" applyFill="1" applyBorder="1" applyAlignment="1">
      <alignment horizontal="right" vertical="center"/>
    </xf>
    <xf numFmtId="178" fontId="2" fillId="5" borderId="22" xfId="0" applyNumberFormat="1" applyFont="1" applyFill="1" applyBorder="1" applyAlignment="1">
      <alignment horizontal="right" vertical="center"/>
    </xf>
    <xf numFmtId="177" fontId="2" fillId="5" borderId="22" xfId="1" applyFont="1" applyFill="1" applyBorder="1" applyAlignment="1" applyProtection="1">
      <alignment vertical="center"/>
    </xf>
    <xf numFmtId="0" fontId="2" fillId="5" borderId="22" xfId="0" applyFont="1" applyFill="1" applyBorder="1">
      <alignment vertical="center"/>
    </xf>
    <xf numFmtId="177" fontId="2" fillId="5" borderId="21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10" fillId="10" borderId="22" xfId="0" applyNumberFormat="1" applyFon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right" vertical="center"/>
    </xf>
    <xf numFmtId="0" fontId="2" fillId="10" borderId="22" xfId="0" applyFont="1" applyFill="1" applyBorder="1" applyAlignment="1">
      <alignment horizontal="right" vertical="center"/>
    </xf>
    <xf numFmtId="178" fontId="2" fillId="10" borderId="22" xfId="0" applyNumberFormat="1" applyFont="1" applyFill="1" applyBorder="1" applyAlignment="1">
      <alignment horizontal="right" vertical="center"/>
    </xf>
    <xf numFmtId="177" fontId="2" fillId="10" borderId="22" xfId="1" applyFont="1" applyFill="1" applyBorder="1" applyAlignment="1" applyProtection="1">
      <alignment vertical="center"/>
    </xf>
    <xf numFmtId="0" fontId="2" fillId="10" borderId="22" xfId="0" applyFont="1" applyFill="1" applyBorder="1">
      <alignment vertical="center"/>
    </xf>
    <xf numFmtId="178" fontId="2" fillId="10" borderId="0" xfId="0" applyNumberFormat="1" applyFont="1" applyFill="1" applyAlignment="1">
      <alignment horizontal="right" vertical="center"/>
    </xf>
    <xf numFmtId="177" fontId="2" fillId="10" borderId="21" xfId="0" applyNumberFormat="1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49" fontId="2" fillId="5" borderId="22" xfId="0" applyNumberFormat="1" applyFont="1" applyFill="1" applyBorder="1" applyAlignment="1">
      <alignment horizontal="center" vertical="center"/>
    </xf>
    <xf numFmtId="177" fontId="2" fillId="5" borderId="21" xfId="0" applyNumberFormat="1" applyFont="1" applyFill="1" applyBorder="1">
      <alignment vertical="center"/>
    </xf>
    <xf numFmtId="0" fontId="2" fillId="0" borderId="17" xfId="0" applyFont="1" applyBorder="1" applyAlignment="1">
      <alignment horizontal="center" vertical="center"/>
    </xf>
    <xf numFmtId="49" fontId="10" fillId="10" borderId="22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right" vertical="center"/>
    </xf>
    <xf numFmtId="0" fontId="10" fillId="10" borderId="22" xfId="0" applyFont="1" applyFill="1" applyBorder="1" applyAlignment="1">
      <alignment horizontal="right" vertical="center"/>
    </xf>
    <xf numFmtId="0" fontId="2" fillId="0" borderId="30" xfId="0" applyFont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178" fontId="2" fillId="5" borderId="21" xfId="0" applyNumberFormat="1" applyFont="1" applyFill="1" applyBorder="1" applyAlignment="1">
      <alignment horizontal="right" vertical="center"/>
    </xf>
    <xf numFmtId="0" fontId="10" fillId="10" borderId="22" xfId="0" applyFont="1" applyFill="1" applyBorder="1" applyAlignment="1">
      <alignment horizontal="right" vertical="center" wrapText="1"/>
    </xf>
    <xf numFmtId="49" fontId="10" fillId="5" borderId="22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right" vertical="center" wrapText="1"/>
    </xf>
    <xf numFmtId="49" fontId="2" fillId="10" borderId="22" xfId="0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177" fontId="2" fillId="10" borderId="18" xfId="0" applyNumberFormat="1" applyFont="1" applyFill="1" applyBorder="1" applyAlignment="1">
      <alignment horizontal="center" vertical="center"/>
    </xf>
    <xf numFmtId="0" fontId="2" fillId="5" borderId="21" xfId="0" applyFont="1" applyFill="1" applyBorder="1">
      <alignment vertical="center"/>
    </xf>
    <xf numFmtId="0" fontId="9" fillId="9" borderId="30" xfId="0" applyFont="1" applyFill="1" applyBorder="1">
      <alignment vertical="center"/>
    </xf>
    <xf numFmtId="0" fontId="9" fillId="9" borderId="22" xfId="0" applyFont="1" applyFill="1" applyBorder="1">
      <alignment vertical="center"/>
    </xf>
    <xf numFmtId="178" fontId="9" fillId="10" borderId="22" xfId="0" applyNumberFormat="1" applyFont="1" applyFill="1" applyBorder="1">
      <alignment vertical="center"/>
    </xf>
    <xf numFmtId="178" fontId="9" fillId="10" borderId="22" xfId="0" applyNumberFormat="1" applyFont="1" applyFill="1" applyBorder="1" applyAlignment="1">
      <alignment horizontal="right" vertical="center"/>
    </xf>
    <xf numFmtId="178" fontId="9" fillId="10" borderId="21" xfId="0" applyNumberFormat="1" applyFont="1" applyFill="1" applyBorder="1" applyAlignment="1">
      <alignment horizontal="right" vertical="center"/>
    </xf>
    <xf numFmtId="177" fontId="9" fillId="10" borderId="21" xfId="0" applyNumberFormat="1" applyFont="1" applyFill="1" applyBorder="1">
      <alignment vertical="center"/>
    </xf>
    <xf numFmtId="0" fontId="2" fillId="0" borderId="32" xfId="0" applyFont="1" applyBorder="1" applyAlignment="1">
      <alignment horizontal="left" vertical="center"/>
    </xf>
    <xf numFmtId="178" fontId="9" fillId="10" borderId="21" xfId="0" applyNumberFormat="1" applyFont="1" applyFill="1" applyBorder="1">
      <alignment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49" fontId="2" fillId="10" borderId="12" xfId="0" applyNumberFormat="1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right" vertical="center"/>
    </xf>
    <xf numFmtId="0" fontId="2" fillId="10" borderId="12" xfId="0" applyFont="1" applyFill="1" applyBorder="1">
      <alignment vertical="center"/>
    </xf>
    <xf numFmtId="177" fontId="2" fillId="10" borderId="13" xfId="0" applyNumberFormat="1" applyFont="1" applyFill="1" applyBorder="1">
      <alignment vertical="center"/>
    </xf>
    <xf numFmtId="0" fontId="13" fillId="0" borderId="1" xfId="0" applyFont="1" applyBorder="1">
      <alignment vertical="center"/>
    </xf>
    <xf numFmtId="0" fontId="14" fillId="12" borderId="15" xfId="0" applyFont="1" applyFill="1" applyBorder="1" applyAlignment="1">
      <alignment horizontal="center" vertical="center"/>
    </xf>
    <xf numFmtId="49" fontId="14" fillId="12" borderId="15" xfId="0" applyNumberFormat="1" applyFont="1" applyFill="1" applyBorder="1" applyAlignment="1">
      <alignment horizontal="center" vertical="center"/>
    </xf>
    <xf numFmtId="178" fontId="2" fillId="0" borderId="15" xfId="0" applyNumberFormat="1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7" fontId="2" fillId="0" borderId="33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right" vertical="center"/>
    </xf>
    <xf numFmtId="180" fontId="2" fillId="0" borderId="15" xfId="0" applyNumberFormat="1" applyFont="1" applyBorder="1" applyAlignment="1">
      <alignment horizontal="right" vertical="center"/>
    </xf>
    <xf numFmtId="0" fontId="2" fillId="0" borderId="3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6" xfId="0" applyFont="1" applyBorder="1">
      <alignment vertical="center"/>
    </xf>
    <xf numFmtId="0" fontId="11" fillId="0" borderId="27" xfId="0" applyFont="1" applyBorder="1">
      <alignment vertical="center"/>
    </xf>
    <xf numFmtId="0" fontId="11" fillId="0" borderId="28" xfId="0" applyFont="1" applyBorder="1">
      <alignment vertical="center"/>
    </xf>
    <xf numFmtId="0" fontId="10" fillId="13" borderId="15" xfId="0" applyFont="1" applyFill="1" applyBorder="1" applyAlignment="1">
      <alignment horizontal="center" vertical="center"/>
    </xf>
    <xf numFmtId="0" fontId="11" fillId="13" borderId="15" xfId="0" applyFont="1" applyFill="1" applyBorder="1" applyAlignment="1">
      <alignment horizontal="center" vertical="center"/>
    </xf>
    <xf numFmtId="0" fontId="10" fillId="13" borderId="28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top" wrapText="1"/>
    </xf>
    <xf numFmtId="0" fontId="15" fillId="12" borderId="15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0" fontId="17" fillId="12" borderId="15" xfId="0" applyFont="1" applyFill="1" applyBorder="1" applyAlignment="1">
      <alignment horizontal="center" vertical="center"/>
    </xf>
    <xf numFmtId="0" fontId="15" fillId="12" borderId="15" xfId="0" applyFont="1" applyFill="1" applyBorder="1" applyAlignment="1">
      <alignment horizontal="center" vertical="top" wrapText="1"/>
    </xf>
    <xf numFmtId="0" fontId="15" fillId="12" borderId="15" xfId="0" applyFont="1" applyFill="1" applyBorder="1">
      <alignment vertical="center"/>
    </xf>
    <xf numFmtId="0" fontId="10" fillId="12" borderId="15" xfId="0" applyFont="1" applyFill="1" applyBorder="1">
      <alignment vertical="center"/>
    </xf>
    <xf numFmtId="0" fontId="15" fillId="12" borderId="34" xfId="0" applyFont="1" applyFill="1" applyBorder="1">
      <alignment vertical="center"/>
    </xf>
    <xf numFmtId="0" fontId="18" fillId="11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11" borderId="28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 wrapText="1"/>
    </xf>
    <xf numFmtId="0" fontId="18" fillId="11" borderId="15" xfId="0" applyFont="1" applyFill="1" applyBorder="1">
      <alignment vertical="center"/>
    </xf>
    <xf numFmtId="0" fontId="19" fillId="11" borderId="15" xfId="0" applyFont="1" applyFill="1" applyBorder="1">
      <alignment vertical="center"/>
    </xf>
    <xf numFmtId="0" fontId="10" fillId="11" borderId="15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top" wrapText="1"/>
    </xf>
    <xf numFmtId="0" fontId="10" fillId="14" borderId="15" xfId="0" applyFont="1" applyFill="1" applyBorder="1" applyAlignment="1">
      <alignment horizontal="center" vertical="center"/>
    </xf>
    <xf numFmtId="0" fontId="11" fillId="14" borderId="15" xfId="0" applyFont="1" applyFill="1" applyBorder="1" applyAlignment="1">
      <alignment horizontal="center" vertical="center"/>
    </xf>
    <xf numFmtId="0" fontId="10" fillId="14" borderId="28" xfId="0" applyFont="1" applyFill="1" applyBorder="1" applyAlignment="1">
      <alignment horizontal="center" vertical="center"/>
    </xf>
    <xf numFmtId="0" fontId="15" fillId="12" borderId="28" xfId="0" applyFont="1" applyFill="1" applyBorder="1" applyAlignment="1">
      <alignment horizontal="center" vertical="center"/>
    </xf>
    <xf numFmtId="0" fontId="20" fillId="12" borderId="1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5" xfId="0" applyFont="1" applyBorder="1">
      <alignment vertical="center"/>
    </xf>
    <xf numFmtId="0" fontId="19" fillId="0" borderId="15" xfId="0" applyFont="1" applyBorder="1">
      <alignment vertical="center"/>
    </xf>
    <xf numFmtId="0" fontId="10" fillId="0" borderId="26" xfId="0" applyFont="1" applyBorder="1">
      <alignment vertical="center"/>
    </xf>
    <xf numFmtId="0" fontId="10" fillId="0" borderId="27" xfId="0" applyFont="1" applyBorder="1">
      <alignment vertical="center"/>
    </xf>
    <xf numFmtId="0" fontId="10" fillId="0" borderId="28" xfId="0" applyFont="1" applyBorder="1">
      <alignment vertical="center"/>
    </xf>
    <xf numFmtId="0" fontId="10" fillId="12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11" borderId="28" xfId="0" applyFont="1" applyFill="1" applyBorder="1" applyAlignment="1">
      <alignment horizontal="center" vertical="center"/>
    </xf>
    <xf numFmtId="0" fontId="10" fillId="11" borderId="26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5" borderId="0" xfId="0" applyFont="1" applyFill="1">
      <alignment vertical="center"/>
    </xf>
    <xf numFmtId="0" fontId="2" fillId="16" borderId="0" xfId="0" applyFont="1" applyFill="1" applyAlignment="1">
      <alignment horizontal="right" vertical="center"/>
    </xf>
    <xf numFmtId="0" fontId="6" fillId="5" borderId="15" xfId="0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49" fontId="10" fillId="15" borderId="15" xfId="0" applyNumberFormat="1" applyFont="1" applyFill="1" applyBorder="1" applyAlignment="1">
      <alignment horizontal="center" vertical="center"/>
    </xf>
    <xf numFmtId="180" fontId="11" fillId="15" borderId="15" xfId="0" applyNumberFormat="1" applyFont="1" applyFill="1" applyBorder="1" applyAlignment="1">
      <alignment horizontal="right" vertical="center"/>
    </xf>
    <xf numFmtId="180" fontId="10" fillId="15" borderId="15" xfId="0" applyNumberFormat="1" applyFont="1" applyFill="1" applyBorder="1" applyAlignment="1">
      <alignment horizontal="right" vertical="center"/>
    </xf>
    <xf numFmtId="0" fontId="2" fillId="15" borderId="15" xfId="0" applyFont="1" applyFill="1" applyBorder="1" applyAlignment="1">
      <alignment horizontal="right" vertical="center"/>
    </xf>
    <xf numFmtId="178" fontId="2" fillId="15" borderId="15" xfId="0" applyNumberFormat="1" applyFont="1" applyFill="1" applyBorder="1" applyAlignment="1">
      <alignment horizontal="right" vertical="center"/>
    </xf>
    <xf numFmtId="177" fontId="2" fillId="15" borderId="15" xfId="1" applyFont="1" applyFill="1" applyBorder="1" applyAlignment="1" applyProtection="1">
      <alignment vertical="center"/>
    </xf>
    <xf numFmtId="0" fontId="2" fillId="15" borderId="15" xfId="0" applyFont="1" applyFill="1" applyBorder="1">
      <alignment vertical="center"/>
    </xf>
    <xf numFmtId="0" fontId="11" fillId="15" borderId="15" xfId="0" applyFont="1" applyFill="1" applyBorder="1" applyAlignment="1">
      <alignment horizontal="right" vertical="center"/>
    </xf>
    <xf numFmtId="0" fontId="2" fillId="15" borderId="33" xfId="0" applyFont="1" applyFill="1" applyBorder="1" applyAlignment="1">
      <alignment horizontal="center" vertical="center"/>
    </xf>
    <xf numFmtId="177" fontId="2" fillId="15" borderId="33" xfId="0" applyNumberFormat="1" applyFont="1" applyFill="1" applyBorder="1" applyAlignment="1">
      <alignment horizontal="center" vertical="center"/>
    </xf>
    <xf numFmtId="178" fontId="2" fillId="15" borderId="0" xfId="0" applyNumberFormat="1" applyFont="1" applyFill="1">
      <alignment vertical="center"/>
    </xf>
    <xf numFmtId="49" fontId="2" fillId="15" borderId="15" xfId="0" applyNumberFormat="1" applyFont="1" applyFill="1" applyBorder="1" applyAlignment="1">
      <alignment horizontal="center" vertical="center"/>
    </xf>
    <xf numFmtId="177" fontId="2" fillId="15" borderId="15" xfId="0" applyNumberFormat="1" applyFont="1" applyFill="1" applyBorder="1">
      <alignment vertical="center"/>
    </xf>
    <xf numFmtId="49" fontId="10" fillId="15" borderId="15" xfId="0" applyNumberFormat="1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horizontal="right" vertical="center"/>
    </xf>
    <xf numFmtId="0" fontId="10" fillId="15" borderId="15" xfId="0" applyFont="1" applyFill="1" applyBorder="1" applyAlignment="1">
      <alignment horizontal="right" vertical="center" wrapText="1"/>
    </xf>
    <xf numFmtId="0" fontId="10" fillId="15" borderId="15" xfId="0" applyFont="1" applyFill="1" applyBorder="1" applyAlignment="1">
      <alignment horizontal="center" vertical="center"/>
    </xf>
    <xf numFmtId="178" fontId="2" fillId="0" borderId="32" xfId="0" applyNumberFormat="1" applyFont="1" applyBorder="1">
      <alignment vertical="center"/>
    </xf>
    <xf numFmtId="178" fontId="2" fillId="0" borderId="0" xfId="0" applyNumberFormat="1" applyFont="1" applyAlignment="1">
      <alignment horizontal="right" vertical="center"/>
    </xf>
    <xf numFmtId="180" fontId="10" fillId="0" borderId="15" xfId="0" applyNumberFormat="1" applyFont="1" applyBorder="1" applyAlignment="1">
      <alignment horizontal="right" vertical="center"/>
    </xf>
    <xf numFmtId="49" fontId="2" fillId="0" borderId="15" xfId="0" applyNumberFormat="1" applyFont="1" applyBorder="1">
      <alignment vertical="center"/>
    </xf>
    <xf numFmtId="0" fontId="2" fillId="17" borderId="0" xfId="0" applyFont="1" applyFill="1">
      <alignment vertical="center"/>
    </xf>
    <xf numFmtId="0" fontId="6" fillId="0" borderId="15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49" fontId="10" fillId="17" borderId="15" xfId="0" applyNumberFormat="1" applyFont="1" applyFill="1" applyBorder="1" applyAlignment="1">
      <alignment horizontal="center" vertical="center"/>
    </xf>
    <xf numFmtId="0" fontId="11" fillId="17" borderId="15" xfId="0" applyFont="1" applyFill="1" applyBorder="1" applyAlignment="1">
      <alignment horizontal="right" vertical="center"/>
    </xf>
    <xf numFmtId="0" fontId="10" fillId="17" borderId="15" xfId="0" applyFont="1" applyFill="1" applyBorder="1" applyAlignment="1">
      <alignment horizontal="right" vertical="center"/>
    </xf>
    <xf numFmtId="0" fontId="2" fillId="17" borderId="15" xfId="0" applyFont="1" applyFill="1" applyBorder="1" applyAlignment="1">
      <alignment horizontal="right" vertical="center"/>
    </xf>
    <xf numFmtId="178" fontId="2" fillId="17" borderId="15" xfId="0" applyNumberFormat="1" applyFont="1" applyFill="1" applyBorder="1" applyAlignment="1">
      <alignment horizontal="right" vertical="center"/>
    </xf>
    <xf numFmtId="177" fontId="2" fillId="17" borderId="15" xfId="1" applyFont="1" applyFill="1" applyBorder="1" applyAlignment="1" applyProtection="1">
      <alignment vertical="center"/>
    </xf>
    <xf numFmtId="0" fontId="2" fillId="17" borderId="15" xfId="0" applyFont="1" applyFill="1" applyBorder="1">
      <alignment vertical="center"/>
    </xf>
    <xf numFmtId="178" fontId="2" fillId="17" borderId="0" xfId="0" applyNumberFormat="1" applyFont="1" applyFill="1">
      <alignment vertical="center"/>
    </xf>
    <xf numFmtId="49" fontId="21" fillId="17" borderId="15" xfId="0" applyNumberFormat="1" applyFont="1" applyFill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177" fontId="2" fillId="17" borderId="15" xfId="0" applyNumberFormat="1" applyFont="1" applyFill="1" applyBorder="1">
      <alignment vertical="center"/>
    </xf>
    <xf numFmtId="49" fontId="10" fillId="17" borderId="15" xfId="0" applyNumberFormat="1" applyFont="1" applyFill="1" applyBorder="1" applyAlignment="1">
      <alignment horizontal="center" vertical="center" wrapText="1"/>
    </xf>
    <xf numFmtId="0" fontId="10" fillId="17" borderId="15" xfId="0" applyFont="1" applyFill="1" applyBorder="1" applyAlignment="1">
      <alignment horizontal="right" vertical="center" wrapText="1"/>
    </xf>
    <xf numFmtId="177" fontId="2" fillId="17" borderId="0" xfId="0" applyNumberFormat="1" applyFont="1" applyFill="1">
      <alignment vertical="center"/>
    </xf>
    <xf numFmtId="49" fontId="2" fillId="17" borderId="15" xfId="0" applyNumberFormat="1" applyFont="1" applyFill="1" applyBorder="1" applyAlignment="1">
      <alignment horizontal="center" vertical="center"/>
    </xf>
    <xf numFmtId="0" fontId="1" fillId="4" borderId="27" xfId="0" applyFont="1" applyFill="1" applyBorder="1">
      <alignment vertical="center"/>
    </xf>
    <xf numFmtId="0" fontId="1" fillId="3" borderId="27" xfId="0" applyFont="1" applyFill="1" applyBorder="1">
      <alignment vertical="center"/>
    </xf>
    <xf numFmtId="0" fontId="24" fillId="3" borderId="3" xfId="0" applyFont="1" applyFill="1" applyBorder="1" applyAlignment="1">
      <alignment horizontal="center" vertical="center" wrapText="1"/>
    </xf>
    <xf numFmtId="49" fontId="24" fillId="3" borderId="3" xfId="0" applyNumberFormat="1" applyFont="1" applyFill="1" applyBorder="1" applyAlignment="1">
      <alignment horizontal="right" vertical="center" wrapText="1"/>
    </xf>
    <xf numFmtId="0" fontId="24" fillId="3" borderId="3" xfId="0" applyFont="1" applyFill="1" applyBorder="1" applyAlignment="1">
      <alignment horizontal="right" vertical="center" wrapText="1"/>
    </xf>
    <xf numFmtId="178" fontId="24" fillId="3" borderId="3" xfId="0" applyNumberFormat="1" applyFont="1" applyFill="1" applyBorder="1" applyAlignment="1">
      <alignment horizontal="right" vertical="center" wrapText="1"/>
    </xf>
    <xf numFmtId="43" fontId="24" fillId="3" borderId="3" xfId="0" applyNumberFormat="1" applyFont="1" applyFill="1" applyBorder="1" applyAlignment="1">
      <alignment horizontal="right" vertical="center" wrapText="1"/>
    </xf>
    <xf numFmtId="43" fontId="24" fillId="3" borderId="3" xfId="0" applyNumberFormat="1" applyFont="1" applyFill="1" applyBorder="1" applyAlignment="1">
      <alignment horizontal="center" vertical="center" wrapText="1"/>
    </xf>
    <xf numFmtId="179" fontId="24" fillId="3" borderId="3" xfId="0" applyNumberFormat="1" applyFont="1" applyFill="1" applyBorder="1" applyAlignment="1">
      <alignment horizontal="center" vertical="center" wrapText="1"/>
    </xf>
    <xf numFmtId="178" fontId="24" fillId="3" borderId="3" xfId="0" applyNumberFormat="1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49" fontId="24" fillId="3" borderId="4" xfId="0" applyNumberFormat="1" applyFont="1" applyFill="1" applyBorder="1" applyAlignment="1">
      <alignment horizontal="right" vertical="center" wrapText="1"/>
    </xf>
    <xf numFmtId="0" fontId="24" fillId="3" borderId="4" xfId="0" applyFont="1" applyFill="1" applyBorder="1" applyAlignment="1">
      <alignment horizontal="right" vertical="center" wrapText="1"/>
    </xf>
    <xf numFmtId="178" fontId="24" fillId="3" borderId="4" xfId="0" applyNumberFormat="1" applyFont="1" applyFill="1" applyBorder="1" applyAlignment="1">
      <alignment horizontal="right" vertical="center" wrapText="1"/>
    </xf>
    <xf numFmtId="43" fontId="24" fillId="3" borderId="4" xfId="0" applyNumberFormat="1" applyFont="1" applyFill="1" applyBorder="1" applyAlignment="1">
      <alignment horizontal="right" vertical="center" wrapText="1"/>
    </xf>
    <xf numFmtId="43" fontId="24" fillId="3" borderId="4" xfId="0" applyNumberFormat="1" applyFont="1" applyFill="1" applyBorder="1" applyAlignment="1">
      <alignment horizontal="center" vertical="center" wrapText="1"/>
    </xf>
    <xf numFmtId="179" fontId="24" fillId="3" borderId="4" xfId="0" applyNumberFormat="1" applyFont="1" applyFill="1" applyBorder="1" applyAlignment="1">
      <alignment horizontal="center" vertical="center" wrapText="1"/>
    </xf>
    <xf numFmtId="178" fontId="24" fillId="3" borderId="4" xfId="0" applyNumberFormat="1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49" fontId="24" fillId="4" borderId="5" xfId="0" applyNumberFormat="1" applyFont="1" applyFill="1" applyBorder="1" applyAlignment="1">
      <alignment horizontal="right" vertical="center" wrapText="1"/>
    </xf>
    <xf numFmtId="0" fontId="24" fillId="4" borderId="5" xfId="0" applyFont="1" applyFill="1" applyBorder="1" applyAlignment="1">
      <alignment horizontal="right" vertical="center" wrapText="1"/>
    </xf>
    <xf numFmtId="178" fontId="24" fillId="4" borderId="5" xfId="0" applyNumberFormat="1" applyFont="1" applyFill="1" applyBorder="1" applyAlignment="1">
      <alignment horizontal="right" vertical="center" wrapText="1"/>
    </xf>
    <xf numFmtId="43" fontId="24" fillId="4" borderId="5" xfId="0" applyNumberFormat="1" applyFont="1" applyFill="1" applyBorder="1" applyAlignment="1">
      <alignment horizontal="right" vertical="center" wrapText="1"/>
    </xf>
    <xf numFmtId="43" fontId="24" fillId="4" borderId="5" xfId="0" applyNumberFormat="1" applyFont="1" applyFill="1" applyBorder="1" applyAlignment="1">
      <alignment horizontal="center" vertical="center" wrapText="1"/>
    </xf>
    <xf numFmtId="179" fontId="24" fillId="4" borderId="5" xfId="0" applyNumberFormat="1" applyFont="1" applyFill="1" applyBorder="1" applyAlignment="1">
      <alignment horizontal="center" vertical="center" wrapText="1"/>
    </xf>
    <xf numFmtId="178" fontId="24" fillId="4" borderId="5" xfId="0" applyNumberFormat="1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49" fontId="24" fillId="3" borderId="6" xfId="0" applyNumberFormat="1" applyFont="1" applyFill="1" applyBorder="1" applyAlignment="1">
      <alignment horizontal="right" vertical="center" wrapText="1"/>
    </xf>
    <xf numFmtId="0" fontId="24" fillId="3" borderId="6" xfId="0" applyFont="1" applyFill="1" applyBorder="1" applyAlignment="1">
      <alignment horizontal="right" vertical="center" wrapText="1"/>
    </xf>
    <xf numFmtId="178" fontId="24" fillId="3" borderId="6" xfId="0" applyNumberFormat="1" applyFont="1" applyFill="1" applyBorder="1" applyAlignment="1">
      <alignment horizontal="right" vertical="center" wrapText="1"/>
    </xf>
    <xf numFmtId="43" fontId="24" fillId="3" borderId="6" xfId="0" applyNumberFormat="1" applyFont="1" applyFill="1" applyBorder="1" applyAlignment="1">
      <alignment horizontal="right" vertical="center" wrapText="1"/>
    </xf>
    <xf numFmtId="43" fontId="24" fillId="3" borderId="6" xfId="0" applyNumberFormat="1" applyFont="1" applyFill="1" applyBorder="1" applyAlignment="1">
      <alignment horizontal="center" vertical="center" wrapText="1"/>
    </xf>
    <xf numFmtId="179" fontId="24" fillId="3" borderId="6" xfId="0" applyNumberFormat="1" applyFont="1" applyFill="1" applyBorder="1" applyAlignment="1">
      <alignment horizontal="center" vertical="center" wrapText="1"/>
    </xf>
    <xf numFmtId="178" fontId="24" fillId="3" borderId="6" xfId="0" applyNumberFormat="1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49" fontId="24" fillId="4" borderId="6" xfId="0" applyNumberFormat="1" applyFont="1" applyFill="1" applyBorder="1" applyAlignment="1">
      <alignment horizontal="right" vertical="center" wrapText="1"/>
    </xf>
    <xf numFmtId="0" fontId="24" fillId="4" borderId="6" xfId="0" applyFont="1" applyFill="1" applyBorder="1" applyAlignment="1">
      <alignment horizontal="right" vertical="center" wrapText="1"/>
    </xf>
    <xf numFmtId="178" fontId="24" fillId="4" borderId="6" xfId="0" applyNumberFormat="1" applyFont="1" applyFill="1" applyBorder="1" applyAlignment="1">
      <alignment horizontal="right" vertical="center" wrapText="1"/>
    </xf>
    <xf numFmtId="43" fontId="24" fillId="4" borderId="6" xfId="0" applyNumberFormat="1" applyFont="1" applyFill="1" applyBorder="1" applyAlignment="1">
      <alignment horizontal="right" vertical="center" wrapText="1"/>
    </xf>
    <xf numFmtId="43" fontId="24" fillId="4" borderId="6" xfId="0" applyNumberFormat="1" applyFont="1" applyFill="1" applyBorder="1" applyAlignment="1">
      <alignment horizontal="center" vertical="center" wrapText="1"/>
    </xf>
    <xf numFmtId="179" fontId="24" fillId="4" borderId="6" xfId="0" applyNumberFormat="1" applyFont="1" applyFill="1" applyBorder="1" applyAlignment="1">
      <alignment horizontal="center" vertical="center" wrapText="1"/>
    </xf>
    <xf numFmtId="178" fontId="24" fillId="4" borderId="6" xfId="0" applyNumberFormat="1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49" fontId="24" fillId="4" borderId="4" xfId="0" applyNumberFormat="1" applyFont="1" applyFill="1" applyBorder="1" applyAlignment="1">
      <alignment horizontal="right" vertical="center" wrapText="1"/>
    </xf>
    <xf numFmtId="0" fontId="24" fillId="4" borderId="4" xfId="0" applyFont="1" applyFill="1" applyBorder="1" applyAlignment="1">
      <alignment horizontal="right" vertical="center" wrapText="1"/>
    </xf>
    <xf numFmtId="178" fontId="24" fillId="4" borderId="4" xfId="0" applyNumberFormat="1" applyFont="1" applyFill="1" applyBorder="1" applyAlignment="1">
      <alignment horizontal="right" vertical="center" wrapText="1"/>
    </xf>
    <xf numFmtId="43" fontId="24" fillId="4" borderId="4" xfId="0" applyNumberFormat="1" applyFont="1" applyFill="1" applyBorder="1" applyAlignment="1">
      <alignment horizontal="right" vertical="center" wrapText="1"/>
    </xf>
    <xf numFmtId="43" fontId="24" fillId="4" borderId="4" xfId="0" applyNumberFormat="1" applyFont="1" applyFill="1" applyBorder="1" applyAlignment="1">
      <alignment horizontal="center" vertical="center" wrapText="1"/>
    </xf>
    <xf numFmtId="179" fontId="24" fillId="4" borderId="4" xfId="0" applyNumberFormat="1" applyFont="1" applyFill="1" applyBorder="1" applyAlignment="1">
      <alignment horizontal="center" vertical="center" wrapText="1"/>
    </xf>
    <xf numFmtId="178" fontId="24" fillId="4" borderId="4" xfId="0" applyNumberFormat="1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49" fontId="24" fillId="3" borderId="5" xfId="0" applyNumberFormat="1" applyFont="1" applyFill="1" applyBorder="1" applyAlignment="1">
      <alignment horizontal="right" vertical="center" wrapText="1"/>
    </xf>
    <xf numFmtId="0" fontId="24" fillId="3" borderId="5" xfId="0" applyFont="1" applyFill="1" applyBorder="1" applyAlignment="1">
      <alignment horizontal="right" vertical="center" wrapText="1"/>
    </xf>
    <xf numFmtId="178" fontId="24" fillId="3" borderId="5" xfId="0" applyNumberFormat="1" applyFont="1" applyFill="1" applyBorder="1" applyAlignment="1">
      <alignment horizontal="right" vertical="center" wrapText="1"/>
    </xf>
    <xf numFmtId="43" fontId="24" fillId="3" borderId="5" xfId="0" applyNumberFormat="1" applyFont="1" applyFill="1" applyBorder="1" applyAlignment="1">
      <alignment horizontal="right" vertical="center" wrapText="1"/>
    </xf>
    <xf numFmtId="43" fontId="24" fillId="3" borderId="5" xfId="0" applyNumberFormat="1" applyFont="1" applyFill="1" applyBorder="1" applyAlignment="1">
      <alignment horizontal="center" vertical="center" wrapText="1"/>
    </xf>
    <xf numFmtId="179" fontId="24" fillId="3" borderId="5" xfId="0" applyNumberFormat="1" applyFont="1" applyFill="1" applyBorder="1" applyAlignment="1">
      <alignment horizontal="center" vertical="center" wrapText="1"/>
    </xf>
    <xf numFmtId="178" fontId="24" fillId="3" borderId="5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49" fontId="24" fillId="4" borderId="3" xfId="0" applyNumberFormat="1" applyFont="1" applyFill="1" applyBorder="1" applyAlignment="1">
      <alignment horizontal="right" vertical="center" wrapText="1"/>
    </xf>
    <xf numFmtId="0" fontId="24" fillId="4" borderId="3" xfId="0" applyFont="1" applyFill="1" applyBorder="1" applyAlignment="1">
      <alignment horizontal="right" vertical="center" wrapText="1"/>
    </xf>
    <xf numFmtId="178" fontId="24" fillId="4" borderId="3" xfId="0" applyNumberFormat="1" applyFont="1" applyFill="1" applyBorder="1" applyAlignment="1">
      <alignment horizontal="right" vertical="center" wrapText="1"/>
    </xf>
    <xf numFmtId="43" fontId="24" fillId="4" borderId="3" xfId="0" applyNumberFormat="1" applyFont="1" applyFill="1" applyBorder="1" applyAlignment="1">
      <alignment horizontal="right" vertical="center" wrapText="1"/>
    </xf>
    <xf numFmtId="43" fontId="24" fillId="4" borderId="3" xfId="0" applyNumberFormat="1" applyFont="1" applyFill="1" applyBorder="1" applyAlignment="1">
      <alignment horizontal="center" vertical="center" wrapText="1"/>
    </xf>
    <xf numFmtId="179" fontId="24" fillId="4" borderId="3" xfId="0" applyNumberFormat="1" applyFont="1" applyFill="1" applyBorder="1" applyAlignment="1">
      <alignment horizontal="center" vertical="center" wrapText="1"/>
    </xf>
    <xf numFmtId="178" fontId="24" fillId="4" borderId="3" xfId="0" applyNumberFormat="1" applyFont="1" applyFill="1" applyBorder="1" applyAlignment="1">
      <alignment horizontal="center" vertical="center" wrapText="1"/>
    </xf>
    <xf numFmtId="177" fontId="24" fillId="3" borderId="5" xfId="0" applyNumberFormat="1" applyFont="1" applyFill="1" applyBorder="1" applyAlignment="1">
      <alignment horizontal="center" vertical="center" wrapText="1"/>
    </xf>
    <xf numFmtId="0" fontId="23" fillId="3" borderId="35" xfId="0" applyFont="1" applyFill="1" applyBorder="1" applyAlignment="1">
      <alignment horizontal="center" vertical="center" wrapText="1"/>
    </xf>
    <xf numFmtId="0" fontId="24" fillId="3" borderId="35" xfId="0" applyFont="1" applyFill="1" applyBorder="1" applyAlignment="1">
      <alignment horizontal="center" vertical="center" wrapText="1"/>
    </xf>
    <xf numFmtId="49" fontId="24" fillId="3" borderId="35" xfId="0" applyNumberFormat="1" applyFont="1" applyFill="1" applyBorder="1" applyAlignment="1">
      <alignment horizontal="right" vertical="center" wrapText="1"/>
    </xf>
    <xf numFmtId="0" fontId="24" fillId="3" borderId="35" xfId="0" applyFont="1" applyFill="1" applyBorder="1" applyAlignment="1">
      <alignment horizontal="right" vertical="center" wrapText="1"/>
    </xf>
    <xf numFmtId="178" fontId="24" fillId="3" borderId="35" xfId="0" applyNumberFormat="1" applyFont="1" applyFill="1" applyBorder="1" applyAlignment="1">
      <alignment horizontal="right" vertical="center" wrapText="1"/>
    </xf>
    <xf numFmtId="43" fontId="24" fillId="3" borderId="35" xfId="0" applyNumberFormat="1" applyFont="1" applyFill="1" applyBorder="1" applyAlignment="1">
      <alignment horizontal="right" vertical="center" wrapText="1"/>
    </xf>
    <xf numFmtId="43" fontId="24" fillId="3" borderId="35" xfId="0" applyNumberFormat="1" applyFont="1" applyFill="1" applyBorder="1" applyAlignment="1">
      <alignment horizontal="center" vertical="center" wrapText="1"/>
    </xf>
    <xf numFmtId="179" fontId="24" fillId="3" borderId="35" xfId="0" applyNumberFormat="1" applyFont="1" applyFill="1" applyBorder="1" applyAlignment="1">
      <alignment horizontal="center" vertical="center" wrapText="1"/>
    </xf>
    <xf numFmtId="178" fontId="24" fillId="3" borderId="35" xfId="0" applyNumberFormat="1" applyFont="1" applyFill="1" applyBorder="1" applyAlignment="1">
      <alignment horizontal="center" vertical="center" wrapText="1"/>
    </xf>
    <xf numFmtId="177" fontId="24" fillId="3" borderId="35" xfId="0" applyNumberFormat="1" applyFont="1" applyFill="1" applyBorder="1" applyAlignment="1">
      <alignment horizontal="center" vertical="center" wrapText="1"/>
    </xf>
    <xf numFmtId="0" fontId="23" fillId="4" borderId="35" xfId="0" applyFont="1" applyFill="1" applyBorder="1" applyAlignment="1">
      <alignment horizontal="center" vertical="center" wrapText="1"/>
    </xf>
    <xf numFmtId="0" fontId="24" fillId="4" borderId="35" xfId="0" applyFont="1" applyFill="1" applyBorder="1" applyAlignment="1">
      <alignment horizontal="center" vertical="center" wrapText="1"/>
    </xf>
    <xf numFmtId="49" fontId="24" fillId="4" borderId="35" xfId="0" applyNumberFormat="1" applyFont="1" applyFill="1" applyBorder="1" applyAlignment="1">
      <alignment horizontal="right" vertical="center" wrapText="1"/>
    </xf>
    <xf numFmtId="0" fontId="24" fillId="4" borderId="35" xfId="0" applyFont="1" applyFill="1" applyBorder="1" applyAlignment="1">
      <alignment horizontal="right" vertical="center" wrapText="1"/>
    </xf>
    <xf numFmtId="178" fontId="24" fillId="4" borderId="35" xfId="0" applyNumberFormat="1" applyFont="1" applyFill="1" applyBorder="1" applyAlignment="1">
      <alignment horizontal="right" vertical="center" wrapText="1"/>
    </xf>
    <xf numFmtId="43" fontId="24" fillId="4" borderId="35" xfId="0" applyNumberFormat="1" applyFont="1" applyFill="1" applyBorder="1" applyAlignment="1">
      <alignment horizontal="right" vertical="center" wrapText="1"/>
    </xf>
    <xf numFmtId="43" fontId="24" fillId="4" borderId="35" xfId="0" applyNumberFormat="1" applyFont="1" applyFill="1" applyBorder="1" applyAlignment="1">
      <alignment horizontal="center" vertical="center" wrapText="1"/>
    </xf>
    <xf numFmtId="179" fontId="24" fillId="4" borderId="35" xfId="0" applyNumberFormat="1" applyFont="1" applyFill="1" applyBorder="1" applyAlignment="1">
      <alignment horizontal="center" vertical="center" wrapText="1"/>
    </xf>
    <xf numFmtId="178" fontId="24" fillId="4" borderId="35" xfId="0" applyNumberFormat="1" applyFont="1" applyFill="1" applyBorder="1" applyAlignment="1">
      <alignment horizontal="center" vertical="center" wrapText="1"/>
    </xf>
    <xf numFmtId="177" fontId="24" fillId="4" borderId="35" xfId="0" applyNumberFormat="1" applyFont="1" applyFill="1" applyBorder="1" applyAlignment="1">
      <alignment horizontal="center" vertical="center" wrapText="1"/>
    </xf>
    <xf numFmtId="177" fontId="24" fillId="4" borderId="5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7" fillId="0" borderId="0" xfId="0" applyNumberFormat="1" applyFont="1" applyAlignment="1">
      <alignment horizontal="right" vertical="center"/>
    </xf>
    <xf numFmtId="176" fontId="1" fillId="6" borderId="3" xfId="0" applyNumberFormat="1" applyFont="1" applyFill="1" applyBorder="1">
      <alignment vertical="center"/>
    </xf>
    <xf numFmtId="176" fontId="6" fillId="7" borderId="3" xfId="0" applyNumberFormat="1" applyFont="1" applyFill="1" applyBorder="1">
      <alignment vertical="center"/>
    </xf>
    <xf numFmtId="176" fontId="1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1" fillId="4" borderId="5" xfId="0" applyNumberFormat="1" applyFont="1" applyFill="1" applyBorder="1" applyAlignment="1">
      <alignment horizontal="right" vertical="center"/>
    </xf>
    <xf numFmtId="0" fontId="27" fillId="2" borderId="2" xfId="0" applyFont="1" applyFill="1" applyBorder="1" applyAlignment="1">
      <alignment horizontal="center" vertical="center" wrapText="1"/>
    </xf>
    <xf numFmtId="43" fontId="27" fillId="2" borderId="2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right" vertical="center" wrapText="1"/>
    </xf>
    <xf numFmtId="176" fontId="1" fillId="4" borderId="5" xfId="0" applyNumberFormat="1" applyFont="1" applyFill="1" applyBorder="1" applyAlignment="1">
      <alignment horizontal="right" vertical="center" wrapText="1"/>
    </xf>
    <xf numFmtId="176" fontId="1" fillId="3" borderId="5" xfId="0" applyNumberFormat="1" applyFont="1" applyFill="1" applyBorder="1" applyAlignment="1">
      <alignment horizontal="right" vertical="center" wrapText="1"/>
    </xf>
    <xf numFmtId="176" fontId="1" fillId="3" borderId="5" xfId="0" applyNumberFormat="1" applyFont="1" applyFill="1" applyBorder="1" applyAlignment="1">
      <alignment horizontal="right" vertical="center"/>
    </xf>
    <xf numFmtId="176" fontId="1" fillId="3" borderId="35" xfId="0" applyNumberFormat="1" applyFont="1" applyFill="1" applyBorder="1" applyAlignment="1">
      <alignment horizontal="right" vertical="center"/>
    </xf>
    <xf numFmtId="176" fontId="1" fillId="4" borderId="35" xfId="0" applyNumberFormat="1" applyFont="1" applyFill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 wrapText="1"/>
    </xf>
    <xf numFmtId="176" fontId="1" fillId="6" borderId="3" xfId="0" applyNumberFormat="1" applyFont="1" applyFill="1" applyBorder="1" applyAlignment="1">
      <alignment horizontal="right" vertical="center"/>
    </xf>
    <xf numFmtId="176" fontId="1" fillId="7" borderId="3" xfId="0" applyNumberFormat="1" applyFont="1" applyFill="1" applyBorder="1" applyAlignment="1">
      <alignment horizontal="right" vertical="center"/>
    </xf>
    <xf numFmtId="176" fontId="6" fillId="7" borderId="3" xfId="0" applyNumberFormat="1" applyFont="1" applyFill="1" applyBorder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>
      <alignment vertical="center"/>
    </xf>
    <xf numFmtId="40" fontId="1" fillId="3" borderId="1" xfId="0" applyNumberFormat="1" applyFont="1" applyFill="1" applyBorder="1">
      <alignment vertical="center"/>
    </xf>
    <xf numFmtId="176" fontId="1" fillId="3" borderId="1" xfId="0" applyNumberFormat="1" applyFont="1" applyFill="1" applyBorder="1">
      <alignment vertical="center"/>
    </xf>
    <xf numFmtId="43" fontId="1" fillId="3" borderId="27" xfId="0" applyNumberFormat="1" applyFont="1" applyFill="1" applyBorder="1">
      <alignment vertical="center"/>
    </xf>
    <xf numFmtId="43" fontId="1" fillId="4" borderId="1" xfId="0" applyNumberFormat="1" applyFont="1" applyFill="1" applyBorder="1">
      <alignment vertical="center"/>
    </xf>
    <xf numFmtId="43" fontId="1" fillId="3" borderId="1" xfId="0" applyNumberFormat="1" applyFont="1" applyFill="1" applyBorder="1">
      <alignment vertical="center"/>
    </xf>
    <xf numFmtId="176" fontId="4" fillId="0" borderId="45" xfId="0" applyNumberFormat="1" applyFont="1" applyBorder="1" applyAlignment="1">
      <alignment horizontal="center" vertical="center" wrapText="1"/>
    </xf>
    <xf numFmtId="0" fontId="2" fillId="0" borderId="45" xfId="0" applyFont="1" applyBorder="1">
      <alignment vertical="center"/>
    </xf>
    <xf numFmtId="49" fontId="5" fillId="2" borderId="45" xfId="0" applyNumberFormat="1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43" fontId="27" fillId="2" borderId="45" xfId="0" applyNumberFormat="1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/>
    </xf>
    <xf numFmtId="0" fontId="23" fillId="3" borderId="45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 wrapText="1"/>
    </xf>
    <xf numFmtId="49" fontId="24" fillId="3" borderId="45" xfId="0" applyNumberFormat="1" applyFont="1" applyFill="1" applyBorder="1" applyAlignment="1">
      <alignment horizontal="right" vertical="center" wrapText="1"/>
    </xf>
    <xf numFmtId="0" fontId="24" fillId="3" borderId="45" xfId="0" applyFont="1" applyFill="1" applyBorder="1" applyAlignment="1">
      <alignment horizontal="right" vertical="center" wrapText="1"/>
    </xf>
    <xf numFmtId="178" fontId="24" fillId="3" borderId="45" xfId="0" applyNumberFormat="1" applyFont="1" applyFill="1" applyBorder="1" applyAlignment="1">
      <alignment horizontal="right" vertical="center" wrapText="1"/>
    </xf>
    <xf numFmtId="43" fontId="24" fillId="3" borderId="45" xfId="0" applyNumberFormat="1" applyFont="1" applyFill="1" applyBorder="1" applyAlignment="1">
      <alignment horizontal="center" vertical="center" wrapText="1"/>
    </xf>
    <xf numFmtId="179" fontId="24" fillId="3" borderId="45" xfId="0" applyNumberFormat="1" applyFont="1" applyFill="1" applyBorder="1" applyAlignment="1">
      <alignment horizontal="center" vertical="center" wrapText="1"/>
    </xf>
    <xf numFmtId="178" fontId="24" fillId="3" borderId="45" xfId="0" applyNumberFormat="1" applyFont="1" applyFill="1" applyBorder="1" applyAlignment="1">
      <alignment horizontal="center" vertical="center" wrapText="1"/>
    </xf>
    <xf numFmtId="176" fontId="1" fillId="3" borderId="45" xfId="0" applyNumberFormat="1" applyFont="1" applyFill="1" applyBorder="1" applyAlignment="1">
      <alignment horizontal="right" vertical="center" wrapText="1"/>
    </xf>
    <xf numFmtId="0" fontId="1" fillId="3" borderId="45" xfId="0" applyFont="1" applyFill="1" applyBorder="1">
      <alignment vertical="center"/>
    </xf>
    <xf numFmtId="0" fontId="23" fillId="4" borderId="45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49" fontId="24" fillId="4" borderId="45" xfId="0" applyNumberFormat="1" applyFont="1" applyFill="1" applyBorder="1" applyAlignment="1">
      <alignment horizontal="right" vertical="center" wrapText="1"/>
    </xf>
    <xf numFmtId="0" fontId="24" fillId="4" borderId="45" xfId="0" applyFont="1" applyFill="1" applyBorder="1" applyAlignment="1">
      <alignment horizontal="right" vertical="center" wrapText="1"/>
    </xf>
    <xf numFmtId="178" fontId="24" fillId="4" borderId="45" xfId="0" applyNumberFormat="1" applyFont="1" applyFill="1" applyBorder="1" applyAlignment="1">
      <alignment horizontal="right" vertical="center" wrapText="1"/>
    </xf>
    <xf numFmtId="43" fontId="24" fillId="4" borderId="45" xfId="0" applyNumberFormat="1" applyFont="1" applyFill="1" applyBorder="1" applyAlignment="1">
      <alignment horizontal="center" vertical="center" wrapText="1"/>
    </xf>
    <xf numFmtId="179" fontId="24" fillId="4" borderId="45" xfId="0" applyNumberFormat="1" applyFont="1" applyFill="1" applyBorder="1" applyAlignment="1">
      <alignment horizontal="center" vertical="center" wrapText="1"/>
    </xf>
    <xf numFmtId="178" fontId="24" fillId="4" borderId="45" xfId="0" applyNumberFormat="1" applyFont="1" applyFill="1" applyBorder="1" applyAlignment="1">
      <alignment horizontal="center" vertical="center" wrapText="1"/>
    </xf>
    <xf numFmtId="176" fontId="1" fillId="4" borderId="45" xfId="0" applyNumberFormat="1" applyFont="1" applyFill="1" applyBorder="1" applyAlignment="1">
      <alignment horizontal="right" vertical="center" wrapText="1"/>
    </xf>
    <xf numFmtId="0" fontId="1" fillId="4" borderId="45" xfId="0" applyFont="1" applyFill="1" applyBorder="1">
      <alignment vertical="center"/>
    </xf>
    <xf numFmtId="176" fontId="1" fillId="3" borderId="45" xfId="0" applyNumberFormat="1" applyFont="1" applyFill="1" applyBorder="1" applyAlignment="1">
      <alignment horizontal="right" vertical="center"/>
    </xf>
    <xf numFmtId="176" fontId="1" fillId="4" borderId="45" xfId="0" applyNumberFormat="1" applyFont="1" applyFill="1" applyBorder="1" applyAlignment="1">
      <alignment horizontal="right" vertical="center"/>
    </xf>
    <xf numFmtId="0" fontId="7" fillId="0" borderId="45" xfId="0" applyFont="1" applyBorder="1">
      <alignment vertical="center"/>
    </xf>
    <xf numFmtId="0" fontId="7" fillId="0" borderId="45" xfId="0" applyFont="1" applyBorder="1" applyAlignment="1">
      <alignment horizontal="right" vertical="center"/>
    </xf>
    <xf numFmtId="178" fontId="7" fillId="0" borderId="45" xfId="0" applyNumberFormat="1" applyFont="1" applyBorder="1" applyAlignment="1">
      <alignment horizontal="right" vertical="center"/>
    </xf>
    <xf numFmtId="43" fontId="7" fillId="0" borderId="45" xfId="0" applyNumberFormat="1" applyFont="1" applyBorder="1" applyAlignment="1">
      <alignment horizontal="right" vertical="center"/>
    </xf>
    <xf numFmtId="43" fontId="7" fillId="0" borderId="45" xfId="0" applyNumberFormat="1" applyFont="1" applyBorder="1">
      <alignment vertical="center"/>
    </xf>
    <xf numFmtId="179" fontId="7" fillId="0" borderId="45" xfId="0" applyNumberFormat="1" applyFont="1" applyBorder="1">
      <alignment vertical="center"/>
    </xf>
    <xf numFmtId="178" fontId="7" fillId="0" borderId="45" xfId="0" applyNumberFormat="1" applyFont="1" applyBorder="1">
      <alignment vertical="center"/>
    </xf>
    <xf numFmtId="176" fontId="7" fillId="0" borderId="45" xfId="0" applyNumberFormat="1" applyFont="1" applyBorder="1" applyAlignment="1">
      <alignment horizontal="right" vertical="center"/>
    </xf>
    <xf numFmtId="43" fontId="1" fillId="0" borderId="45" xfId="0" applyNumberFormat="1" applyFont="1" applyBorder="1">
      <alignment vertical="center"/>
    </xf>
    <xf numFmtId="0" fontId="1" fillId="0" borderId="45" xfId="0" applyFont="1" applyBorder="1">
      <alignment vertical="center"/>
    </xf>
    <xf numFmtId="176" fontId="7" fillId="0" borderId="45" xfId="0" applyNumberFormat="1" applyFont="1" applyBorder="1" applyAlignment="1">
      <alignment horizontal="right" vertical="center" wrapText="1"/>
    </xf>
    <xf numFmtId="176" fontId="1" fillId="6" borderId="45" xfId="0" applyNumberFormat="1" applyFont="1" applyFill="1" applyBorder="1" applyAlignment="1">
      <alignment horizontal="right" vertical="center"/>
    </xf>
    <xf numFmtId="176" fontId="1" fillId="7" borderId="45" xfId="0" applyNumberFormat="1" applyFont="1" applyFill="1" applyBorder="1" applyAlignment="1">
      <alignment horizontal="right" vertical="center"/>
    </xf>
    <xf numFmtId="176" fontId="1" fillId="6" borderId="45" xfId="0" applyNumberFormat="1" applyFont="1" applyFill="1" applyBorder="1">
      <alignment vertical="center"/>
    </xf>
    <xf numFmtId="176" fontId="6" fillId="7" borderId="45" xfId="0" applyNumberFormat="1" applyFont="1" applyFill="1" applyBorder="1">
      <alignment vertical="center"/>
    </xf>
    <xf numFmtId="177" fontId="1" fillId="0" borderId="45" xfId="0" applyNumberFormat="1" applyFont="1" applyBorder="1">
      <alignment vertical="center"/>
    </xf>
    <xf numFmtId="0" fontId="1" fillId="0" borderId="45" xfId="0" applyFont="1" applyBorder="1" applyAlignment="1">
      <alignment horizontal="center" vertical="center"/>
    </xf>
    <xf numFmtId="49" fontId="1" fillId="0" borderId="45" xfId="0" applyNumberFormat="1" applyFont="1" applyBorder="1" applyAlignment="1">
      <alignment horizontal="right" vertical="center"/>
    </xf>
    <xf numFmtId="0" fontId="1" fillId="0" borderId="45" xfId="0" applyFont="1" applyBorder="1" applyAlignment="1">
      <alignment horizontal="right" vertical="center"/>
    </xf>
    <xf numFmtId="43" fontId="1" fillId="0" borderId="45" xfId="0" applyNumberFormat="1" applyFont="1" applyBorder="1" applyAlignment="1">
      <alignment horizontal="right" vertical="center"/>
    </xf>
    <xf numFmtId="176" fontId="1" fillId="0" borderId="45" xfId="0" applyNumberFormat="1" applyFont="1" applyBorder="1">
      <alignment vertical="center"/>
    </xf>
    <xf numFmtId="0" fontId="2" fillId="0" borderId="45" xfId="0" applyFont="1" applyBorder="1" applyAlignment="1">
      <alignment horizontal="center" vertical="center"/>
    </xf>
    <xf numFmtId="49" fontId="2" fillId="0" borderId="45" xfId="0" applyNumberFormat="1" applyFont="1" applyBorder="1" applyAlignment="1">
      <alignment horizontal="right" vertical="center"/>
    </xf>
    <xf numFmtId="0" fontId="2" fillId="0" borderId="45" xfId="0" applyFont="1" applyBorder="1" applyAlignment="1">
      <alignment horizontal="right" vertical="center"/>
    </xf>
    <xf numFmtId="43" fontId="2" fillId="0" borderId="45" xfId="0" applyNumberFormat="1" applyFont="1" applyBorder="1" applyAlignment="1">
      <alignment horizontal="right" vertical="center"/>
    </xf>
    <xf numFmtId="43" fontId="2" fillId="0" borderId="45" xfId="0" applyNumberFormat="1" applyFont="1" applyBorder="1">
      <alignment vertical="center"/>
    </xf>
    <xf numFmtId="176" fontId="2" fillId="0" borderId="45" xfId="0" applyNumberFormat="1" applyFont="1" applyBorder="1">
      <alignment vertical="center"/>
    </xf>
    <xf numFmtId="177" fontId="2" fillId="0" borderId="45" xfId="0" applyNumberFormat="1" applyFont="1" applyBorder="1">
      <alignment vertical="center"/>
    </xf>
    <xf numFmtId="0" fontId="24" fillId="4" borderId="47" xfId="0" applyFont="1" applyFill="1" applyBorder="1" applyAlignment="1">
      <alignment horizontal="center" vertical="center" wrapText="1"/>
    </xf>
    <xf numFmtId="0" fontId="23" fillId="4" borderId="47" xfId="0" applyFont="1" applyFill="1" applyBorder="1" applyAlignment="1">
      <alignment horizontal="center" vertical="center" wrapText="1"/>
    </xf>
    <xf numFmtId="176" fontId="1" fillId="4" borderId="47" xfId="0" applyNumberFormat="1" applyFont="1" applyFill="1" applyBorder="1" applyAlignment="1">
      <alignment horizontal="right" vertical="center"/>
    </xf>
    <xf numFmtId="0" fontId="1" fillId="6" borderId="45" xfId="0" applyFont="1" applyFill="1" applyBorder="1" applyAlignment="1">
      <alignment vertical="center" wrapText="1"/>
    </xf>
    <xf numFmtId="43" fontId="1" fillId="6" borderId="45" xfId="0" applyNumberFormat="1" applyFont="1" applyFill="1" applyBorder="1" applyAlignment="1">
      <alignment vertical="center" wrapText="1"/>
    </xf>
    <xf numFmtId="58" fontId="25" fillId="7" borderId="3" xfId="0" applyNumberFormat="1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43" fontId="1" fillId="7" borderId="3" xfId="0" applyNumberFormat="1" applyFont="1" applyFill="1" applyBorder="1" applyAlignment="1">
      <alignment vertical="center" wrapText="1"/>
    </xf>
    <xf numFmtId="0" fontId="25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43" fontId="1" fillId="6" borderId="3" xfId="0" applyNumberFormat="1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right" vertical="center" wrapText="1"/>
    </xf>
    <xf numFmtId="43" fontId="6" fillId="7" borderId="3" xfId="0" applyNumberFormat="1" applyFont="1" applyFill="1" applyBorder="1" applyAlignment="1">
      <alignment horizontal="right" vertical="center" wrapText="1"/>
    </xf>
    <xf numFmtId="43" fontId="6" fillId="7" borderId="3" xfId="0" applyNumberFormat="1" applyFont="1" applyFill="1" applyBorder="1" applyAlignment="1">
      <alignment horizontal="center" vertical="center" wrapText="1"/>
    </xf>
    <xf numFmtId="0" fontId="26" fillId="6" borderId="37" xfId="0" applyFont="1" applyFill="1" applyBorder="1" applyAlignment="1">
      <alignment horizontal="left" vertical="center" wrapText="1"/>
    </xf>
    <xf numFmtId="0" fontId="6" fillId="6" borderId="38" xfId="0" applyFont="1" applyFill="1" applyBorder="1" applyAlignment="1">
      <alignment horizontal="left" vertical="center" wrapText="1"/>
    </xf>
    <xf numFmtId="0" fontId="6" fillId="6" borderId="39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178" fontId="24" fillId="3" borderId="3" xfId="0" applyNumberFormat="1" applyFont="1" applyFill="1" applyBorder="1" applyAlignment="1">
      <alignment horizontal="right" vertical="center" wrapText="1"/>
    </xf>
    <xf numFmtId="178" fontId="24" fillId="3" borderId="4" xfId="0" applyNumberFormat="1" applyFont="1" applyFill="1" applyBorder="1" applyAlignment="1">
      <alignment horizontal="right" vertical="center" wrapText="1"/>
    </xf>
    <xf numFmtId="178" fontId="24" fillId="3" borderId="6" xfId="0" applyNumberFormat="1" applyFont="1" applyFill="1" applyBorder="1" applyAlignment="1">
      <alignment horizontal="right" vertical="center" wrapText="1"/>
    </xf>
    <xf numFmtId="178" fontId="24" fillId="4" borderId="6" xfId="0" applyNumberFormat="1" applyFont="1" applyFill="1" applyBorder="1" applyAlignment="1">
      <alignment horizontal="right" vertical="center" wrapText="1"/>
    </xf>
    <xf numFmtId="178" fontId="24" fillId="4" borderId="4" xfId="0" applyNumberFormat="1" applyFont="1" applyFill="1" applyBorder="1" applyAlignment="1">
      <alignment horizontal="right" vertical="center" wrapText="1"/>
    </xf>
    <xf numFmtId="178" fontId="24" fillId="4" borderId="3" xfId="0" applyNumberFormat="1" applyFont="1" applyFill="1" applyBorder="1" applyAlignment="1">
      <alignment horizontal="right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43" fontId="24" fillId="3" borderId="6" xfId="0" applyNumberFormat="1" applyFont="1" applyFill="1" applyBorder="1" applyAlignment="1">
      <alignment horizontal="right" vertical="center" wrapText="1"/>
    </xf>
    <xf numFmtId="43" fontId="24" fillId="3" borderId="4" xfId="0" applyNumberFormat="1" applyFont="1" applyFill="1" applyBorder="1" applyAlignment="1">
      <alignment horizontal="right" vertical="center" wrapText="1"/>
    </xf>
    <xf numFmtId="43" fontId="24" fillId="3" borderId="6" xfId="0" applyNumberFormat="1" applyFont="1" applyFill="1" applyBorder="1" applyAlignment="1">
      <alignment horizontal="center" vertical="center" wrapText="1"/>
    </xf>
    <xf numFmtId="43" fontId="24" fillId="3" borderId="4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43" fontId="7" fillId="0" borderId="0" xfId="0" applyNumberFormat="1" applyFont="1" applyAlignment="1">
      <alignment horizontal="right" vertical="center" wrapText="1"/>
    </xf>
    <xf numFmtId="43" fontId="7" fillId="0" borderId="0" xfId="0" applyNumberFormat="1" applyFont="1" applyAlignment="1">
      <alignment horizontal="center" vertical="center" wrapText="1"/>
    </xf>
    <xf numFmtId="177" fontId="24" fillId="4" borderId="6" xfId="0" applyNumberFormat="1" applyFont="1" applyFill="1" applyBorder="1" applyAlignment="1">
      <alignment horizontal="center" vertical="center" wrapText="1"/>
    </xf>
    <xf numFmtId="177" fontId="24" fillId="4" borderId="4" xfId="0" applyNumberFormat="1" applyFont="1" applyFill="1" applyBorder="1" applyAlignment="1">
      <alignment horizontal="center" vertical="center" wrapText="1"/>
    </xf>
    <xf numFmtId="177" fontId="24" fillId="4" borderId="3" xfId="0" applyNumberFormat="1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176" fontId="1" fillId="4" borderId="44" xfId="0" applyNumberFormat="1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43" fontId="1" fillId="4" borderId="4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49" fontId="5" fillId="2" borderId="37" xfId="0" applyNumberFormat="1" applyFont="1" applyFill="1" applyBorder="1" applyAlignment="1">
      <alignment horizontal="center" vertical="center" wrapText="1"/>
    </xf>
    <xf numFmtId="49" fontId="5" fillId="2" borderId="38" xfId="0" applyNumberFormat="1" applyFont="1" applyFill="1" applyBorder="1" applyAlignment="1">
      <alignment horizontal="center" vertical="center" wrapText="1"/>
    </xf>
    <xf numFmtId="49" fontId="5" fillId="2" borderId="39" xfId="0" applyNumberFormat="1" applyFont="1" applyFill="1" applyBorder="1" applyAlignment="1">
      <alignment horizontal="center" vertical="center" wrapText="1"/>
    </xf>
    <xf numFmtId="43" fontId="5" fillId="2" borderId="37" xfId="0" applyNumberFormat="1" applyFont="1" applyFill="1" applyBorder="1" applyAlignment="1">
      <alignment horizontal="center" vertical="center" wrapText="1"/>
    </xf>
    <xf numFmtId="43" fontId="5" fillId="2" borderId="38" xfId="0" applyNumberFormat="1" applyFont="1" applyFill="1" applyBorder="1" applyAlignment="1">
      <alignment horizontal="center" vertical="center" wrapText="1"/>
    </xf>
    <xf numFmtId="43" fontId="5" fillId="2" borderId="39" xfId="0" applyNumberFormat="1" applyFont="1" applyFill="1" applyBorder="1" applyAlignment="1">
      <alignment horizontal="center" vertical="center" wrapText="1"/>
    </xf>
    <xf numFmtId="43" fontId="1" fillId="3" borderId="44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3" borderId="41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40" xfId="0" applyNumberFormat="1" applyFont="1" applyFill="1" applyBorder="1" applyAlignment="1">
      <alignment horizontal="center" vertical="center" wrapText="1"/>
    </xf>
    <xf numFmtId="177" fontId="24" fillId="3" borderId="36" xfId="0" applyNumberFormat="1" applyFont="1" applyFill="1" applyBorder="1" applyAlignment="1">
      <alignment horizontal="center" vertical="center" wrapText="1"/>
    </xf>
    <xf numFmtId="177" fontId="24" fillId="3" borderId="5" xfId="0" applyNumberFormat="1" applyFont="1" applyFill="1" applyBorder="1" applyAlignment="1">
      <alignment horizontal="center" vertical="center" wrapText="1"/>
    </xf>
    <xf numFmtId="176" fontId="1" fillId="4" borderId="36" xfId="0" applyNumberFormat="1" applyFont="1" applyFill="1" applyBorder="1" applyAlignment="1">
      <alignment horizontal="right" vertical="center"/>
    </xf>
    <xf numFmtId="176" fontId="1" fillId="4" borderId="5" xfId="0" applyNumberFormat="1" applyFont="1" applyFill="1" applyBorder="1" applyAlignment="1">
      <alignment horizontal="right" vertical="center"/>
    </xf>
    <xf numFmtId="176" fontId="1" fillId="4" borderId="36" xfId="0" applyNumberFormat="1" applyFont="1" applyFill="1" applyBorder="1" applyAlignment="1">
      <alignment horizontal="right" vertical="center" wrapText="1"/>
    </xf>
    <xf numFmtId="176" fontId="1" fillId="4" borderId="7" xfId="0" applyNumberFormat="1" applyFont="1" applyFill="1" applyBorder="1" applyAlignment="1">
      <alignment horizontal="right" vertical="center" wrapText="1"/>
    </xf>
    <xf numFmtId="176" fontId="1" fillId="4" borderId="5" xfId="0" applyNumberFormat="1" applyFont="1" applyFill="1" applyBorder="1" applyAlignment="1">
      <alignment horizontal="right" vertical="center" wrapText="1"/>
    </xf>
    <xf numFmtId="176" fontId="1" fillId="3" borderId="3" xfId="0" applyNumberFormat="1" applyFont="1" applyFill="1" applyBorder="1" applyAlignment="1">
      <alignment horizontal="right" vertical="center" wrapText="1"/>
    </xf>
    <xf numFmtId="176" fontId="1" fillId="3" borderId="4" xfId="0" applyNumberFormat="1" applyFont="1" applyFill="1" applyBorder="1" applyAlignment="1">
      <alignment horizontal="right" vertical="center" wrapText="1"/>
    </xf>
    <xf numFmtId="176" fontId="1" fillId="3" borderId="6" xfId="0" applyNumberFormat="1" applyFont="1" applyFill="1" applyBorder="1" applyAlignment="1">
      <alignment horizontal="right" vertical="center" wrapText="1"/>
    </xf>
    <xf numFmtId="176" fontId="1" fillId="3" borderId="36" xfId="0" applyNumberFormat="1" applyFont="1" applyFill="1" applyBorder="1" applyAlignment="1">
      <alignment horizontal="right" vertical="center"/>
    </xf>
    <xf numFmtId="176" fontId="1" fillId="3" borderId="5" xfId="0" applyNumberFormat="1" applyFont="1" applyFill="1" applyBorder="1" applyAlignment="1">
      <alignment horizontal="right" vertical="center"/>
    </xf>
    <xf numFmtId="176" fontId="1" fillId="3" borderId="44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177" fontId="2" fillId="17" borderId="33" xfId="0" applyNumberFormat="1" applyFont="1" applyFill="1" applyBorder="1" applyAlignment="1">
      <alignment horizontal="center" vertical="center"/>
    </xf>
    <xf numFmtId="177" fontId="2" fillId="17" borderId="34" xfId="0" applyNumberFormat="1" applyFont="1" applyFill="1" applyBorder="1" applyAlignment="1">
      <alignment horizontal="center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17" borderId="15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right" vertical="center"/>
    </xf>
    <xf numFmtId="178" fontId="2" fillId="17" borderId="15" xfId="0" applyNumberFormat="1" applyFont="1" applyFill="1" applyBorder="1" applyAlignment="1">
      <alignment horizontal="right" vertical="center"/>
    </xf>
    <xf numFmtId="178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177" fontId="2" fillId="0" borderId="33" xfId="0" applyNumberFormat="1" applyFont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177" fontId="2" fillId="15" borderId="15" xfId="0" applyNumberFormat="1" applyFont="1" applyFill="1" applyBorder="1" applyAlignment="1">
      <alignment horizontal="center" vertical="center"/>
    </xf>
    <xf numFmtId="177" fontId="2" fillId="15" borderId="33" xfId="0" applyNumberFormat="1" applyFont="1" applyFill="1" applyBorder="1" applyAlignment="1">
      <alignment horizontal="center" vertical="center"/>
    </xf>
    <xf numFmtId="177" fontId="2" fillId="15" borderId="34" xfId="0" applyNumberFormat="1" applyFont="1" applyFill="1" applyBorder="1" applyAlignment="1">
      <alignment horizontal="center" vertical="center"/>
    </xf>
    <xf numFmtId="0" fontId="2" fillId="15" borderId="33" xfId="0" applyFont="1" applyFill="1" applyBorder="1" applyAlignment="1">
      <alignment horizontal="center" vertical="center"/>
    </xf>
    <xf numFmtId="0" fontId="2" fillId="15" borderId="34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/>
    </xf>
    <xf numFmtId="178" fontId="2" fillId="15" borderId="15" xfId="0" applyNumberFormat="1" applyFont="1" applyFill="1" applyBorder="1" applyAlignment="1">
      <alignment horizontal="right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2" fillId="0" borderId="34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right" vertical="center"/>
    </xf>
    <xf numFmtId="178" fontId="2" fillId="0" borderId="34" xfId="0" applyNumberFormat="1" applyFont="1" applyBorder="1" applyAlignment="1">
      <alignment horizontal="right" vertical="center"/>
    </xf>
    <xf numFmtId="58" fontId="2" fillId="0" borderId="15" xfId="0" applyNumberFormat="1" applyFont="1" applyBorder="1" applyAlignment="1">
      <alignment horizontal="left" vertical="center"/>
    </xf>
    <xf numFmtId="177" fontId="2" fillId="5" borderId="18" xfId="0" applyNumberFormat="1" applyFont="1" applyFill="1" applyBorder="1" applyAlignment="1">
      <alignment horizontal="center" vertical="center"/>
    </xf>
    <xf numFmtId="177" fontId="2" fillId="5" borderId="21" xfId="0" applyNumberFormat="1" applyFont="1" applyFill="1" applyBorder="1" applyAlignment="1">
      <alignment horizontal="center" vertical="center"/>
    </xf>
    <xf numFmtId="177" fontId="2" fillId="10" borderId="21" xfId="0" applyNumberFormat="1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9" fillId="9" borderId="30" xfId="0" applyFont="1" applyFill="1" applyBorder="1" applyAlignment="1">
      <alignment horizontal="left" vertical="center"/>
    </xf>
    <xf numFmtId="0" fontId="9" fillId="9" borderId="22" xfId="0" applyFont="1" applyFill="1" applyBorder="1" applyAlignment="1">
      <alignment horizontal="left" vertical="center"/>
    </xf>
    <xf numFmtId="0" fontId="9" fillId="9" borderId="21" xfId="0" applyFont="1" applyFill="1" applyBorder="1" applyAlignment="1">
      <alignment horizontal="left" vertical="center"/>
    </xf>
    <xf numFmtId="0" fontId="9" fillId="10" borderId="22" xfId="0" applyFont="1" applyFill="1" applyBorder="1" applyAlignment="1">
      <alignment horizontal="left" vertical="center"/>
    </xf>
    <xf numFmtId="0" fontId="9" fillId="5" borderId="16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78" fontId="2" fillId="5" borderId="17" xfId="0" applyNumberFormat="1" applyFont="1" applyFill="1" applyBorder="1" applyAlignment="1">
      <alignment horizontal="right" vertical="center"/>
    </xf>
    <xf numFmtId="178" fontId="2" fillId="5" borderId="22" xfId="0" applyNumberFormat="1" applyFont="1" applyFill="1" applyBorder="1" applyAlignment="1">
      <alignment horizontal="right" vertical="center"/>
    </xf>
    <xf numFmtId="178" fontId="2" fillId="10" borderId="22" xfId="0" applyNumberFormat="1" applyFont="1" applyFill="1" applyBorder="1" applyAlignment="1">
      <alignment horizontal="right" vertical="center"/>
    </xf>
    <xf numFmtId="58" fontId="2" fillId="0" borderId="21" xfId="0" applyNumberFormat="1" applyFont="1" applyBorder="1" applyAlignment="1">
      <alignment horizontal="left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9" fillId="10" borderId="22" xfId="0" applyFont="1" applyFill="1" applyBorder="1" applyAlignment="1">
      <alignment horizontal="center" vertical="center"/>
    </xf>
    <xf numFmtId="177" fontId="2" fillId="10" borderId="25" xfId="0" applyNumberFormat="1" applyFont="1" applyFill="1" applyBorder="1" applyAlignment="1">
      <alignment horizontal="center" vertical="center"/>
    </xf>
    <xf numFmtId="177" fontId="2" fillId="10" borderId="18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right" vertical="center"/>
    </xf>
    <xf numFmtId="178" fontId="2" fillId="5" borderId="0" xfId="0" applyNumberFormat="1" applyFont="1" applyFill="1" applyAlignment="1">
      <alignment horizontal="right" vertical="center"/>
    </xf>
    <xf numFmtId="178" fontId="2" fillId="10" borderId="20" xfId="0" applyNumberFormat="1" applyFont="1" applyFill="1" applyBorder="1" applyAlignment="1">
      <alignment horizontal="right" vertical="center"/>
    </xf>
    <xf numFmtId="178" fontId="2" fillId="10" borderId="17" xfId="0" applyNumberFormat="1" applyFont="1" applyFill="1" applyBorder="1" applyAlignment="1">
      <alignment horizontal="right" vertical="center"/>
    </xf>
    <xf numFmtId="177" fontId="2" fillId="11" borderId="25" xfId="0" applyNumberFormat="1" applyFont="1" applyFill="1" applyBorder="1" applyAlignment="1">
      <alignment horizontal="center" vertical="center"/>
    </xf>
    <xf numFmtId="177" fontId="2" fillId="11" borderId="31" xfId="0" applyNumberFormat="1" applyFont="1" applyFill="1" applyBorder="1" applyAlignment="1">
      <alignment horizontal="center" vertical="center"/>
    </xf>
    <xf numFmtId="177" fontId="2" fillId="11" borderId="18" xfId="0" applyNumberFormat="1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9" fillId="9" borderId="15" xfId="0" applyFont="1" applyFill="1" applyBorder="1" applyAlignment="1">
      <alignment horizontal="left" vertical="center"/>
    </xf>
    <xf numFmtId="0" fontId="9" fillId="10" borderId="15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78" fontId="2" fillId="10" borderId="0" xfId="0" applyNumberFormat="1" applyFont="1" applyFill="1" applyAlignment="1">
      <alignment horizontal="right" vertical="center"/>
    </xf>
    <xf numFmtId="177" fontId="2" fillId="5" borderId="14" xfId="0" applyNumberFormat="1" applyFont="1" applyFill="1" applyBorder="1" applyAlignment="1">
      <alignment horizontal="center" vertical="center"/>
    </xf>
    <xf numFmtId="177" fontId="2" fillId="5" borderId="15" xfId="0" applyNumberFormat="1" applyFont="1" applyFill="1" applyBorder="1" applyAlignment="1">
      <alignment horizontal="center" vertical="center"/>
    </xf>
    <xf numFmtId="177" fontId="2" fillId="0" borderId="15" xfId="0" applyNumberFormat="1" applyFont="1" applyBorder="1" applyAlignment="1">
      <alignment horizontal="right" vertical="center"/>
    </xf>
    <xf numFmtId="0" fontId="9" fillId="9" borderId="26" xfId="0" applyFont="1" applyFill="1" applyBorder="1" applyAlignment="1">
      <alignment horizontal="left" vertical="center"/>
    </xf>
    <xf numFmtId="0" fontId="9" fillId="9" borderId="27" xfId="0" applyFont="1" applyFill="1" applyBorder="1" applyAlignment="1">
      <alignment horizontal="left" vertical="center"/>
    </xf>
    <xf numFmtId="0" fontId="9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9" fillId="9" borderId="16" xfId="0" applyFont="1" applyFill="1" applyBorder="1" applyAlignment="1">
      <alignment horizontal="center" vertical="center"/>
    </xf>
    <xf numFmtId="0" fontId="9" fillId="9" borderId="17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left" vertical="center"/>
    </xf>
    <xf numFmtId="0" fontId="9" fillId="9" borderId="19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24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3" fillId="4" borderId="36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178" fontId="24" fillId="4" borderId="36" xfId="0" applyNumberFormat="1" applyFont="1" applyFill="1" applyBorder="1" applyAlignment="1">
      <alignment horizontal="right" vertical="center" wrapText="1"/>
    </xf>
    <xf numFmtId="178" fontId="24" fillId="4" borderId="5" xfId="0" applyNumberFormat="1" applyFont="1" applyFill="1" applyBorder="1" applyAlignment="1">
      <alignment horizontal="right" vertical="center" wrapText="1"/>
    </xf>
    <xf numFmtId="177" fontId="24" fillId="4" borderId="36" xfId="0" applyNumberFormat="1" applyFont="1" applyFill="1" applyBorder="1" applyAlignment="1">
      <alignment horizontal="right" vertical="center" wrapText="1"/>
    </xf>
    <xf numFmtId="177" fontId="24" fillId="4" borderId="5" xfId="0" applyNumberFormat="1" applyFont="1" applyFill="1" applyBorder="1" applyAlignment="1">
      <alignment horizontal="right" vertical="center" wrapText="1"/>
    </xf>
    <xf numFmtId="178" fontId="24" fillId="3" borderId="36" xfId="0" applyNumberFormat="1" applyFont="1" applyFill="1" applyBorder="1" applyAlignment="1">
      <alignment horizontal="center" vertical="center" wrapText="1"/>
    </xf>
    <xf numFmtId="178" fontId="24" fillId="3" borderId="5" xfId="0" applyNumberFormat="1" applyFont="1" applyFill="1" applyBorder="1" applyAlignment="1">
      <alignment horizontal="center" vertical="center" wrapText="1"/>
    </xf>
    <xf numFmtId="178" fontId="24" fillId="4" borderId="36" xfId="0" applyNumberFormat="1" applyFont="1" applyFill="1" applyBorder="1" applyAlignment="1">
      <alignment horizontal="center" vertical="center" wrapText="1"/>
    </xf>
    <xf numFmtId="178" fontId="24" fillId="4" borderId="5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43" fontId="7" fillId="0" borderId="0" xfId="0" applyNumberFormat="1" applyFont="1" applyAlignment="1">
      <alignment horizontal="left" vertical="center" wrapText="1"/>
    </xf>
    <xf numFmtId="178" fontId="24" fillId="4" borderId="7" xfId="0" applyNumberFormat="1" applyFont="1" applyFill="1" applyBorder="1" applyAlignment="1">
      <alignment horizontal="center" vertical="center" wrapText="1"/>
    </xf>
    <xf numFmtId="0" fontId="23" fillId="4" borderId="7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center" vertical="center" wrapText="1"/>
    </xf>
    <xf numFmtId="178" fontId="24" fillId="4" borderId="7" xfId="0" applyNumberFormat="1" applyFont="1" applyFill="1" applyBorder="1" applyAlignment="1">
      <alignment horizontal="right" vertical="center" wrapText="1"/>
    </xf>
    <xf numFmtId="176" fontId="1" fillId="3" borderId="2" xfId="0" applyNumberFormat="1" applyFont="1" applyFill="1" applyBorder="1" applyAlignment="1">
      <alignment horizontal="right" vertical="center" wrapText="1"/>
    </xf>
    <xf numFmtId="176" fontId="1" fillId="3" borderId="5" xfId="0" applyNumberFormat="1" applyFont="1" applyFill="1" applyBorder="1" applyAlignment="1">
      <alignment horizontal="right" vertical="center" wrapText="1"/>
    </xf>
    <xf numFmtId="178" fontId="24" fillId="3" borderId="2" xfId="0" applyNumberFormat="1" applyFont="1" applyFill="1" applyBorder="1" applyAlignment="1">
      <alignment horizontal="center" vertical="center" wrapText="1"/>
    </xf>
    <xf numFmtId="43" fontId="5" fillId="2" borderId="7" xfId="0" applyNumberFormat="1" applyFont="1" applyFill="1" applyBorder="1" applyAlignment="1">
      <alignment horizontal="center" vertical="center" wrapText="1"/>
    </xf>
    <xf numFmtId="43" fontId="5" fillId="2" borderId="6" xfId="0" applyNumberFormat="1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49" fontId="5" fillId="2" borderId="45" xfId="0" applyNumberFormat="1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center" vertical="center" wrapText="1"/>
    </xf>
    <xf numFmtId="43" fontId="5" fillId="2" borderId="45" xfId="0" applyNumberFormat="1" applyFont="1" applyFill="1" applyBorder="1" applyAlignment="1">
      <alignment horizontal="center" vertical="center" wrapText="1"/>
    </xf>
    <xf numFmtId="176" fontId="1" fillId="4" borderId="45" xfId="0" applyNumberFormat="1" applyFont="1" applyFill="1" applyBorder="1" applyAlignment="1">
      <alignment horizontal="right" vertical="center" wrapText="1"/>
    </xf>
    <xf numFmtId="0" fontId="23" fillId="4" borderId="45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178" fontId="24" fillId="4" borderId="45" xfId="0" applyNumberFormat="1" applyFont="1" applyFill="1" applyBorder="1" applyAlignment="1">
      <alignment horizontal="right" vertical="center" wrapText="1"/>
    </xf>
    <xf numFmtId="176" fontId="5" fillId="2" borderId="45" xfId="0" applyNumberFormat="1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 wrapText="1"/>
    </xf>
    <xf numFmtId="178" fontId="24" fillId="3" borderId="45" xfId="0" applyNumberFormat="1" applyFont="1" applyFill="1" applyBorder="1" applyAlignment="1">
      <alignment horizontal="right" vertical="center" wrapText="1"/>
    </xf>
    <xf numFmtId="176" fontId="1" fillId="3" borderId="45" xfId="0" applyNumberFormat="1" applyFont="1" applyFill="1" applyBorder="1" applyAlignment="1">
      <alignment horizontal="right" vertical="center" wrapText="1"/>
    </xf>
    <xf numFmtId="176" fontId="1" fillId="4" borderId="46" xfId="0" applyNumberFormat="1" applyFont="1" applyFill="1" applyBorder="1" applyAlignment="1">
      <alignment horizontal="right" vertical="center" wrapText="1"/>
    </xf>
    <xf numFmtId="176" fontId="1" fillId="4" borderId="47" xfId="0" applyNumberFormat="1" applyFont="1" applyFill="1" applyBorder="1" applyAlignment="1">
      <alignment horizontal="right" vertical="center" wrapText="1"/>
    </xf>
    <xf numFmtId="176" fontId="1" fillId="3" borderId="46" xfId="0" applyNumberFormat="1" applyFont="1" applyFill="1" applyBorder="1" applyAlignment="1">
      <alignment horizontal="right" vertical="center" wrapText="1"/>
    </xf>
    <xf numFmtId="176" fontId="1" fillId="3" borderId="48" xfId="0" applyNumberFormat="1" applyFont="1" applyFill="1" applyBorder="1" applyAlignment="1">
      <alignment horizontal="right" vertical="center" wrapText="1"/>
    </xf>
    <xf numFmtId="176" fontId="1" fillId="3" borderId="47" xfId="0" applyNumberFormat="1" applyFont="1" applyFill="1" applyBorder="1" applyAlignment="1">
      <alignment horizontal="right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6" borderId="50" xfId="0" applyFont="1" applyFill="1" applyBorder="1" applyAlignment="1">
      <alignment horizontal="center" vertical="center" wrapText="1"/>
    </xf>
    <xf numFmtId="0" fontId="6" fillId="6" borderId="51" xfId="0" applyFont="1" applyFill="1" applyBorder="1" applyAlignment="1">
      <alignment horizontal="center" vertical="center" wrapText="1"/>
    </xf>
    <xf numFmtId="0" fontId="6" fillId="6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 wrapText="1"/>
    </xf>
    <xf numFmtId="0" fontId="6" fillId="6" borderId="54" xfId="0" applyFont="1" applyFill="1" applyBorder="1" applyAlignment="1">
      <alignment horizontal="center" vertical="center" wrapText="1"/>
    </xf>
    <xf numFmtId="0" fontId="1" fillId="7" borderId="45" xfId="0" applyFont="1" applyFill="1" applyBorder="1" applyAlignment="1">
      <alignment vertical="center" wrapText="1"/>
    </xf>
    <xf numFmtId="43" fontId="1" fillId="7" borderId="45" xfId="0" applyNumberFormat="1" applyFont="1" applyFill="1" applyBorder="1" applyAlignment="1">
      <alignment vertical="center" wrapText="1"/>
    </xf>
    <xf numFmtId="176" fontId="1" fillId="4" borderId="45" xfId="0" applyNumberFormat="1" applyFont="1" applyFill="1" applyBorder="1" applyAlignment="1">
      <alignment horizontal="right" vertical="center"/>
    </xf>
    <xf numFmtId="176" fontId="1" fillId="3" borderId="45" xfId="0" applyNumberFormat="1" applyFont="1" applyFill="1" applyBorder="1" applyAlignment="1">
      <alignment horizontal="right" vertical="center"/>
    </xf>
    <xf numFmtId="43" fontId="24" fillId="3" borderId="45" xfId="0" applyNumberFormat="1" applyFont="1" applyFill="1" applyBorder="1" applyAlignment="1">
      <alignment horizontal="center" vertical="center" wrapText="1"/>
    </xf>
    <xf numFmtId="0" fontId="6" fillId="7" borderId="45" xfId="0" applyFont="1" applyFill="1" applyBorder="1" applyAlignment="1">
      <alignment horizontal="center" vertical="center" wrapText="1"/>
    </xf>
    <xf numFmtId="0" fontId="6" fillId="7" borderId="45" xfId="0" applyFont="1" applyFill="1" applyBorder="1" applyAlignment="1">
      <alignment horizontal="right" vertical="center" wrapText="1"/>
    </xf>
    <xf numFmtId="43" fontId="6" fillId="7" borderId="45" xfId="0" applyNumberFormat="1" applyFont="1" applyFill="1" applyBorder="1" applyAlignment="1">
      <alignment horizontal="right" vertical="center" wrapText="1"/>
    </xf>
    <xf numFmtId="43" fontId="6" fillId="7" borderId="45" xfId="0" applyNumberFormat="1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left" vertical="center" wrapText="1"/>
    </xf>
    <xf numFmtId="43" fontId="7" fillId="0" borderId="45" xfId="0" applyNumberFormat="1" applyFont="1" applyBorder="1" applyAlignment="1">
      <alignment horizontal="left" vertical="center" wrapText="1"/>
    </xf>
    <xf numFmtId="0" fontId="1" fillId="6" borderId="45" xfId="0" applyFont="1" applyFill="1" applyBorder="1" applyAlignment="1">
      <alignment vertical="center" wrapText="1"/>
    </xf>
    <xf numFmtId="43" fontId="1" fillId="6" borderId="45" xfId="0" applyNumberFormat="1" applyFont="1" applyFill="1" applyBorder="1" applyAlignment="1">
      <alignment vertical="center" wrapText="1"/>
    </xf>
    <xf numFmtId="58" fontId="1" fillId="7" borderId="45" xfId="0" applyNumberFormat="1" applyFont="1" applyFill="1" applyBorder="1" applyAlignment="1">
      <alignment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6" fillId="6" borderId="45" xfId="0" applyFont="1" applyFill="1" applyBorder="1" applyAlignment="1">
      <alignment horizontal="left" vertical="center" wrapText="1"/>
    </xf>
    <xf numFmtId="0" fontId="1" fillId="4" borderId="47" xfId="0" applyFont="1" applyFill="1" applyBorder="1" applyAlignment="1">
      <alignment horizontal="center" vertical="center"/>
    </xf>
    <xf numFmtId="176" fontId="1" fillId="4" borderId="46" xfId="0" applyNumberFormat="1" applyFont="1" applyFill="1" applyBorder="1" applyAlignment="1">
      <alignment horizontal="center" vertical="center"/>
    </xf>
    <xf numFmtId="0" fontId="1" fillId="6" borderId="55" xfId="0" applyFont="1" applyFill="1" applyBorder="1" applyAlignment="1">
      <alignment horizontal="left" vertical="center" wrapText="1"/>
    </xf>
    <xf numFmtId="0" fontId="1" fillId="6" borderId="56" xfId="0" applyFont="1" applyFill="1" applyBorder="1" applyAlignment="1">
      <alignment horizontal="left" vertical="center" wrapText="1"/>
    </xf>
    <xf numFmtId="0" fontId="1" fillId="6" borderId="57" xfId="0" applyFont="1" applyFill="1" applyBorder="1" applyAlignment="1">
      <alignment horizontal="left" vertical="center" wrapText="1"/>
    </xf>
    <xf numFmtId="0" fontId="1" fillId="4" borderId="46" xfId="0" applyFont="1" applyFill="1" applyBorder="1" applyAlignment="1">
      <alignment vertical="center"/>
    </xf>
    <xf numFmtId="0" fontId="1" fillId="4" borderId="47" xfId="0" applyFont="1" applyFill="1" applyBorder="1" applyAlignment="1">
      <alignment vertical="center"/>
    </xf>
  </cellXfs>
  <cellStyles count="2">
    <cellStyle name="常规" xfId="0" builtinId="0"/>
    <cellStyle name="货币" xfId="1" builtinId="4"/>
  </cellStyles>
  <dxfs count="40"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BE2D5"/>
        </patternFill>
      </fill>
    </dxf>
    <dxf>
      <fill>
        <patternFill patternType="solid">
          <bgColor rgb="FFFFE1FF"/>
        </patternFill>
      </fill>
    </dxf>
    <dxf>
      <fill>
        <patternFill patternType="solid">
          <bgColor rgb="FFFFE1FF"/>
        </patternFill>
      </fill>
    </dxf>
    <dxf>
      <fill>
        <patternFill patternType="solid">
          <bgColor rgb="FFFBE2D5"/>
        </patternFill>
      </fill>
    </dxf>
  </dxfs>
  <tableStyles count="0" defaultTableStyle="TableStyleMedium2" defaultPivotStyle="PivotStyleLight16"/>
  <colors>
    <mruColors>
      <color rgb="FFFFC3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pane xSplit="13" ySplit="1" topLeftCell="N23" activePane="bottomRight" state="frozen"/>
      <selection pane="topRight"/>
      <selection pane="bottomLeft"/>
      <selection pane="bottomRight" activeCell="F3" sqref="F3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7.0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6.83203125" style="9" customWidth="1"/>
    <col min="10" max="10" width="12" style="9" customWidth="1"/>
    <col min="11" max="11" width="10.58203125" style="9" customWidth="1"/>
    <col min="12" max="12" width="23.58203125" style="9" customWidth="1"/>
    <col min="13" max="13" width="11.9140625" style="12" customWidth="1"/>
    <col min="14" max="14" width="13.08203125" style="8" customWidth="1"/>
    <col min="15" max="15" width="10.33203125" style="9" customWidth="1"/>
    <col min="16" max="16384" width="8.6640625" style="9"/>
  </cols>
  <sheetData>
    <row r="1" spans="1:15" ht="40" customHeight="1">
      <c r="A1" s="526" t="s">
        <v>0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</row>
    <row r="2" spans="1:15" s="10" customFormat="1" ht="26.15" customHeight="1">
      <c r="A2" s="239" t="s">
        <v>1</v>
      </c>
      <c r="B2" s="239" t="s">
        <v>2</v>
      </c>
      <c r="C2" s="239" t="s">
        <v>3</v>
      </c>
      <c r="D2" s="240" t="s">
        <v>4</v>
      </c>
      <c r="E2" s="239" t="s">
        <v>5</v>
      </c>
      <c r="F2" s="239" t="s">
        <v>6</v>
      </c>
      <c r="G2" s="239" t="s">
        <v>7</v>
      </c>
      <c r="H2" s="239" t="s">
        <v>8</v>
      </c>
      <c r="I2" s="239" t="s">
        <v>9</v>
      </c>
      <c r="J2" s="239" t="s">
        <v>10</v>
      </c>
      <c r="K2" s="239" t="s">
        <v>11</v>
      </c>
      <c r="L2" s="239" t="s">
        <v>12</v>
      </c>
      <c r="M2" s="239" t="s">
        <v>13</v>
      </c>
      <c r="N2" s="239" t="s">
        <v>14</v>
      </c>
    </row>
    <row r="3" spans="1:15" ht="26.15" customHeight="1">
      <c r="A3" s="59">
        <f>ROW()-2</f>
        <v>1</v>
      </c>
      <c r="B3" s="59" t="s">
        <v>15</v>
      </c>
      <c r="C3" s="59" t="s">
        <v>16</v>
      </c>
      <c r="D3" s="60">
        <v>135407</v>
      </c>
      <c r="E3" s="62">
        <v>803.8</v>
      </c>
      <c r="F3" s="236">
        <v>713.8</v>
      </c>
      <c r="G3" s="63">
        <v>60</v>
      </c>
      <c r="H3" s="63">
        <f t="shared" ref="H3:H8" si="0">(E3-F3)*G3</f>
        <v>5400</v>
      </c>
      <c r="I3" s="64">
        <v>1.1000000000000001</v>
      </c>
      <c r="J3" s="64">
        <f>H3*I3</f>
        <v>5940</v>
      </c>
      <c r="K3" s="65"/>
      <c r="L3" s="66"/>
      <c r="M3" s="527">
        <f t="shared" ref="M3" si="1">J3+J4+K3+K4</f>
        <v>6903.6</v>
      </c>
      <c r="N3" s="524">
        <v>6904</v>
      </c>
    </row>
    <row r="4" spans="1:15" ht="26.15" customHeight="1">
      <c r="A4" s="59">
        <f t="shared" ref="A4:A32" si="2">ROW()-2</f>
        <v>2</v>
      </c>
      <c r="B4" s="59" t="s">
        <v>15</v>
      </c>
      <c r="C4" s="59" t="s">
        <v>17</v>
      </c>
      <c r="D4" s="60">
        <v>222933</v>
      </c>
      <c r="E4" s="61">
        <v>6333</v>
      </c>
      <c r="F4" s="76">
        <v>5457</v>
      </c>
      <c r="G4" s="61">
        <v>1</v>
      </c>
      <c r="H4" s="63">
        <f t="shared" si="0"/>
        <v>876</v>
      </c>
      <c r="I4" s="64">
        <v>1.1000000000000001</v>
      </c>
      <c r="J4" s="64">
        <f>H4*I4</f>
        <v>963.6</v>
      </c>
      <c r="K4" s="65"/>
      <c r="L4" s="66"/>
      <c r="M4" s="527"/>
      <c r="N4" s="524"/>
    </row>
    <row r="5" spans="1:15" s="238" customFormat="1" ht="26.15" customHeight="1">
      <c r="A5" s="241">
        <f t="shared" si="2"/>
        <v>3</v>
      </c>
      <c r="B5" s="521" t="s">
        <v>18</v>
      </c>
      <c r="C5" s="241" t="s">
        <v>16</v>
      </c>
      <c r="D5" s="242">
        <v>135406</v>
      </c>
      <c r="E5" s="243">
        <v>352.9</v>
      </c>
      <c r="F5" s="244">
        <v>303.8</v>
      </c>
      <c r="G5" s="245">
        <v>40</v>
      </c>
      <c r="H5" s="245">
        <f t="shared" si="0"/>
        <v>1964</v>
      </c>
      <c r="I5" s="246">
        <v>1.1000000000000001</v>
      </c>
      <c r="J5" s="246">
        <f>H5*I5</f>
        <v>2160.4</v>
      </c>
      <c r="K5" s="247"/>
      <c r="L5" s="248"/>
      <c r="M5" s="528">
        <f t="shared" ref="M5" si="3">J5+J6+K5+K6</f>
        <v>2247.3000000000002</v>
      </c>
      <c r="N5" s="522">
        <v>2247.3000000000002</v>
      </c>
      <c r="O5" s="249"/>
    </row>
    <row r="6" spans="1:15" s="238" customFormat="1" ht="26.15" customHeight="1">
      <c r="A6" s="241">
        <f t="shared" si="2"/>
        <v>4</v>
      </c>
      <c r="B6" s="521"/>
      <c r="C6" s="241" t="s">
        <v>17</v>
      </c>
      <c r="D6" s="250" t="s">
        <v>19</v>
      </c>
      <c r="E6" s="243">
        <v>118</v>
      </c>
      <c r="F6" s="245">
        <v>39</v>
      </c>
      <c r="G6" s="245">
        <v>1</v>
      </c>
      <c r="H6" s="245">
        <f t="shared" si="0"/>
        <v>79</v>
      </c>
      <c r="I6" s="246">
        <v>1.1000000000000001</v>
      </c>
      <c r="J6" s="246">
        <f>H6*I6</f>
        <v>86.9</v>
      </c>
      <c r="K6" s="247"/>
      <c r="L6" s="248"/>
      <c r="M6" s="528"/>
      <c r="N6" s="523"/>
    </row>
    <row r="7" spans="1:15" ht="26.15" customHeight="1">
      <c r="A7" s="59">
        <f t="shared" si="2"/>
        <v>5</v>
      </c>
      <c r="B7" s="520" t="s">
        <v>20</v>
      </c>
      <c r="C7" s="59" t="s">
        <v>16</v>
      </c>
      <c r="D7" s="60">
        <v>135400</v>
      </c>
      <c r="E7" s="61">
        <v>10</v>
      </c>
      <c r="F7" s="63">
        <v>9</v>
      </c>
      <c r="G7" s="63">
        <v>40</v>
      </c>
      <c r="H7" s="63">
        <f t="shared" si="0"/>
        <v>40</v>
      </c>
      <c r="I7" s="64">
        <v>1.1000000000000001</v>
      </c>
      <c r="J7" s="64">
        <f t="shared" ref="J7:J32" si="4">H7*I7</f>
        <v>44</v>
      </c>
      <c r="K7" s="65"/>
      <c r="L7" s="66"/>
      <c r="M7" s="527">
        <f t="shared" ref="M7" si="5">J7+J8+K7+K8</f>
        <v>112.2</v>
      </c>
      <c r="N7" s="524">
        <v>112</v>
      </c>
    </row>
    <row r="8" spans="1:15" ht="26.15" customHeight="1">
      <c r="A8" s="59">
        <f t="shared" si="2"/>
        <v>6</v>
      </c>
      <c r="B8" s="520"/>
      <c r="C8" s="59" t="s">
        <v>17</v>
      </c>
      <c r="D8" s="251" t="s">
        <v>21</v>
      </c>
      <c r="E8" s="63">
        <v>323</v>
      </c>
      <c r="F8" s="63">
        <v>261</v>
      </c>
      <c r="G8" s="63">
        <v>1</v>
      </c>
      <c r="H8" s="63">
        <f t="shared" si="0"/>
        <v>62</v>
      </c>
      <c r="I8" s="64">
        <v>1.1000000000000001</v>
      </c>
      <c r="J8" s="64">
        <f t="shared" si="4"/>
        <v>68.2</v>
      </c>
      <c r="K8" s="65"/>
      <c r="L8" s="66"/>
      <c r="M8" s="527"/>
      <c r="N8" s="524"/>
    </row>
    <row r="9" spans="1:15" s="238" customFormat="1" ht="26.15" customHeight="1">
      <c r="A9" s="241">
        <f t="shared" si="2"/>
        <v>7</v>
      </c>
      <c r="B9" s="241" t="s">
        <v>22</v>
      </c>
      <c r="C9" s="241" t="s">
        <v>16</v>
      </c>
      <c r="D9" s="242">
        <v>135405</v>
      </c>
      <c r="E9" s="243">
        <v>253.4</v>
      </c>
      <c r="F9" s="244">
        <v>213.6</v>
      </c>
      <c r="G9" s="245">
        <v>40</v>
      </c>
      <c r="H9" s="245">
        <f t="shared" ref="H9:H32" si="6">(E9-F9)*G9</f>
        <v>1592</v>
      </c>
      <c r="I9" s="246">
        <v>1.1000000000000001</v>
      </c>
      <c r="J9" s="246">
        <f t="shared" si="4"/>
        <v>1751.2</v>
      </c>
      <c r="K9" s="247"/>
      <c r="L9" s="248"/>
      <c r="M9" s="246">
        <f t="shared" ref="M9:M29" si="7">J9+K9</f>
        <v>1751.2</v>
      </c>
      <c r="N9" s="252">
        <v>1751.2</v>
      </c>
    </row>
    <row r="10" spans="1:15" ht="26.15" customHeight="1">
      <c r="A10" s="59">
        <f t="shared" si="2"/>
        <v>8</v>
      </c>
      <c r="B10" s="59" t="s">
        <v>23</v>
      </c>
      <c r="C10" s="59" t="s">
        <v>16</v>
      </c>
      <c r="D10" s="60">
        <v>135401</v>
      </c>
      <c r="E10" s="61">
        <v>50.4</v>
      </c>
      <c r="F10" s="76">
        <v>43.8</v>
      </c>
      <c r="G10" s="63">
        <v>20</v>
      </c>
      <c r="H10" s="63">
        <f t="shared" si="6"/>
        <v>132</v>
      </c>
      <c r="I10" s="64">
        <v>1.1000000000000001</v>
      </c>
      <c r="J10" s="64">
        <f t="shared" si="4"/>
        <v>145.19999999999999</v>
      </c>
      <c r="K10" s="65"/>
      <c r="L10" s="66"/>
      <c r="M10" s="64">
        <f t="shared" si="7"/>
        <v>145.19999999999999</v>
      </c>
      <c r="N10" s="73">
        <v>145.19999999999999</v>
      </c>
    </row>
    <row r="11" spans="1:15" s="238" customFormat="1" ht="26.15" customHeight="1">
      <c r="A11" s="241">
        <f t="shared" si="2"/>
        <v>9</v>
      </c>
      <c r="B11" s="521" t="s">
        <v>24</v>
      </c>
      <c r="C11" s="241" t="s">
        <v>25</v>
      </c>
      <c r="D11" s="242">
        <v>135402</v>
      </c>
      <c r="E11" s="243">
        <v>379.5</v>
      </c>
      <c r="F11" s="244">
        <v>320.5</v>
      </c>
      <c r="G11" s="245">
        <v>20</v>
      </c>
      <c r="H11" s="245">
        <f t="shared" si="6"/>
        <v>1180</v>
      </c>
      <c r="I11" s="246">
        <v>1.1000000000000001</v>
      </c>
      <c r="J11" s="246">
        <f t="shared" si="4"/>
        <v>1298</v>
      </c>
      <c r="K11" s="247"/>
      <c r="L11" s="248"/>
      <c r="M11" s="528">
        <f>J11+J12+K11+K12</f>
        <v>2296.8000000000002</v>
      </c>
      <c r="N11" s="525">
        <v>2296.8000000000002</v>
      </c>
    </row>
    <row r="12" spans="1:15" s="238" customFormat="1" ht="26.15" customHeight="1">
      <c r="A12" s="241">
        <f t="shared" si="2"/>
        <v>10</v>
      </c>
      <c r="B12" s="521"/>
      <c r="C12" s="241" t="s">
        <v>26</v>
      </c>
      <c r="D12" s="242">
        <v>135408</v>
      </c>
      <c r="E12" s="243">
        <v>144.19999999999999</v>
      </c>
      <c r="F12" s="244">
        <v>121.5</v>
      </c>
      <c r="G12" s="245">
        <v>40</v>
      </c>
      <c r="H12" s="245">
        <f t="shared" si="6"/>
        <v>908</v>
      </c>
      <c r="I12" s="246">
        <v>1.1000000000000001</v>
      </c>
      <c r="J12" s="246">
        <f t="shared" si="4"/>
        <v>998.8</v>
      </c>
      <c r="K12" s="247"/>
      <c r="L12" s="248"/>
      <c r="M12" s="528"/>
      <c r="N12" s="525"/>
    </row>
    <row r="13" spans="1:15" ht="26.15" customHeight="1">
      <c r="A13" s="59">
        <f t="shared" si="2"/>
        <v>11</v>
      </c>
      <c r="B13" s="59" t="s">
        <v>27</v>
      </c>
      <c r="C13" s="59" t="s">
        <v>16</v>
      </c>
      <c r="D13" s="60">
        <v>136866</v>
      </c>
      <c r="E13" s="61">
        <v>172.8</v>
      </c>
      <c r="F13" s="76">
        <v>157</v>
      </c>
      <c r="G13" s="63">
        <v>20</v>
      </c>
      <c r="H13" s="63">
        <f t="shared" si="6"/>
        <v>316</v>
      </c>
      <c r="I13" s="64">
        <v>1.1000000000000001</v>
      </c>
      <c r="J13" s="64">
        <f t="shared" si="4"/>
        <v>347.6</v>
      </c>
      <c r="K13" s="65"/>
      <c r="L13" s="66"/>
      <c r="M13" s="64">
        <f t="shared" si="7"/>
        <v>347.6</v>
      </c>
      <c r="N13" s="73">
        <v>347.6</v>
      </c>
    </row>
    <row r="14" spans="1:15" s="238" customFormat="1" ht="26.15" customHeight="1">
      <c r="A14" s="241">
        <f t="shared" si="2"/>
        <v>12</v>
      </c>
      <c r="B14" s="241" t="s">
        <v>28</v>
      </c>
      <c r="C14" s="241" t="s">
        <v>16</v>
      </c>
      <c r="D14" s="253">
        <v>135847</v>
      </c>
      <c r="E14" s="243">
        <v>161.19999999999999</v>
      </c>
      <c r="F14" s="244">
        <v>143.9</v>
      </c>
      <c r="G14" s="245">
        <v>40</v>
      </c>
      <c r="H14" s="245">
        <f t="shared" si="6"/>
        <v>691.99999999999898</v>
      </c>
      <c r="I14" s="246">
        <v>1.1000000000000001</v>
      </c>
      <c r="J14" s="246">
        <f t="shared" si="4"/>
        <v>761.19999999999902</v>
      </c>
      <c r="K14" s="247"/>
      <c r="L14" s="248"/>
      <c r="M14" s="246">
        <f t="shared" si="7"/>
        <v>761.19999999999902</v>
      </c>
      <c r="N14" s="252">
        <v>761</v>
      </c>
    </row>
    <row r="15" spans="1:15" ht="26.15" customHeight="1">
      <c r="A15" s="59">
        <f t="shared" si="2"/>
        <v>13</v>
      </c>
      <c r="B15" s="59" t="s">
        <v>29</v>
      </c>
      <c r="C15" s="59" t="s">
        <v>16</v>
      </c>
      <c r="D15" s="60">
        <v>135848</v>
      </c>
      <c r="E15" s="61">
        <v>375.2</v>
      </c>
      <c r="F15" s="76">
        <v>307.7</v>
      </c>
      <c r="G15" s="76">
        <v>40</v>
      </c>
      <c r="H15" s="63">
        <f t="shared" si="6"/>
        <v>2700</v>
      </c>
      <c r="I15" s="64">
        <v>1.1000000000000001</v>
      </c>
      <c r="J15" s="64">
        <f t="shared" si="4"/>
        <v>2970</v>
      </c>
      <c r="K15" s="65">
        <v>-234</v>
      </c>
      <c r="L15" s="66" t="s">
        <v>30</v>
      </c>
      <c r="M15" s="64">
        <f t="shared" si="7"/>
        <v>2736</v>
      </c>
      <c r="N15" s="73">
        <v>2736</v>
      </c>
    </row>
    <row r="16" spans="1:15" s="238" customFormat="1" ht="26.15" customHeight="1">
      <c r="A16" s="241">
        <f t="shared" si="2"/>
        <v>14</v>
      </c>
      <c r="B16" s="241" t="s">
        <v>31</v>
      </c>
      <c r="C16" s="241" t="s">
        <v>16</v>
      </c>
      <c r="D16" s="242">
        <v>135846</v>
      </c>
      <c r="E16" s="243">
        <v>399.5</v>
      </c>
      <c r="F16" s="244">
        <v>344.4</v>
      </c>
      <c r="G16" s="244">
        <v>40</v>
      </c>
      <c r="H16" s="245">
        <f t="shared" si="6"/>
        <v>2204</v>
      </c>
      <c r="I16" s="246">
        <v>1.1000000000000001</v>
      </c>
      <c r="J16" s="246">
        <f t="shared" si="4"/>
        <v>2424.4</v>
      </c>
      <c r="K16" s="247"/>
      <c r="L16" s="248"/>
      <c r="M16" s="246">
        <f t="shared" si="7"/>
        <v>2424.4</v>
      </c>
      <c r="N16" s="252">
        <v>2424</v>
      </c>
    </row>
    <row r="17" spans="1:16" ht="26.15" customHeight="1">
      <c r="A17" s="59">
        <f t="shared" si="2"/>
        <v>15</v>
      </c>
      <c r="B17" s="59" t="s">
        <v>32</v>
      </c>
      <c r="C17" s="59" t="s">
        <v>16</v>
      </c>
      <c r="D17" s="60">
        <v>135845</v>
      </c>
      <c r="E17" s="61">
        <v>273.5</v>
      </c>
      <c r="F17" s="76">
        <v>224.4</v>
      </c>
      <c r="G17" s="76">
        <v>40</v>
      </c>
      <c r="H17" s="63">
        <f t="shared" si="6"/>
        <v>1964</v>
      </c>
      <c r="I17" s="64">
        <v>1.1000000000000001</v>
      </c>
      <c r="J17" s="64">
        <f t="shared" si="4"/>
        <v>2160.4</v>
      </c>
      <c r="K17" s="65"/>
      <c r="L17" s="66"/>
      <c r="M17" s="64">
        <f t="shared" si="7"/>
        <v>2160.4</v>
      </c>
      <c r="N17" s="73">
        <v>2160</v>
      </c>
    </row>
    <row r="18" spans="1:16" s="238" customFormat="1" ht="26.15" customHeight="1">
      <c r="A18" s="241">
        <f t="shared" si="2"/>
        <v>16</v>
      </c>
      <c r="B18" s="241" t="s">
        <v>33</v>
      </c>
      <c r="C18" s="241" t="s">
        <v>16</v>
      </c>
      <c r="D18" s="253">
        <v>135844</v>
      </c>
      <c r="E18" s="243">
        <v>21.6</v>
      </c>
      <c r="F18" s="244">
        <v>16</v>
      </c>
      <c r="G18" s="254">
        <v>30</v>
      </c>
      <c r="H18" s="245">
        <f t="shared" si="6"/>
        <v>168</v>
      </c>
      <c r="I18" s="246">
        <v>1.1000000000000001</v>
      </c>
      <c r="J18" s="246">
        <f t="shared" si="4"/>
        <v>184.8</v>
      </c>
      <c r="K18" s="247"/>
      <c r="L18" s="248"/>
      <c r="M18" s="246">
        <f t="shared" si="7"/>
        <v>184.8</v>
      </c>
      <c r="N18" s="252">
        <v>184</v>
      </c>
    </row>
    <row r="19" spans="1:16" ht="26.15" customHeight="1">
      <c r="A19" s="59">
        <f t="shared" si="2"/>
        <v>17</v>
      </c>
      <c r="B19" s="59" t="s">
        <v>34</v>
      </c>
      <c r="C19" s="59" t="s">
        <v>16</v>
      </c>
      <c r="D19" s="72">
        <v>135844</v>
      </c>
      <c r="E19" s="61">
        <v>26.8</v>
      </c>
      <c r="F19" s="76">
        <v>21.8</v>
      </c>
      <c r="G19" s="80">
        <v>30</v>
      </c>
      <c r="H19" s="63">
        <f t="shared" si="6"/>
        <v>150</v>
      </c>
      <c r="I19" s="64">
        <v>1.1000000000000001</v>
      </c>
      <c r="J19" s="64">
        <f t="shared" si="4"/>
        <v>165</v>
      </c>
      <c r="K19" s="65"/>
      <c r="L19" s="66"/>
      <c r="M19" s="64">
        <f t="shared" si="7"/>
        <v>165</v>
      </c>
      <c r="N19" s="73">
        <v>165</v>
      </c>
    </row>
    <row r="20" spans="1:16" s="238" customFormat="1" ht="26.15" customHeight="1">
      <c r="A20" s="241">
        <f t="shared" si="2"/>
        <v>18</v>
      </c>
      <c r="B20" s="241" t="s">
        <v>35</v>
      </c>
      <c r="C20" s="241" t="s">
        <v>16</v>
      </c>
      <c r="D20" s="253">
        <v>135850</v>
      </c>
      <c r="E20" s="243">
        <v>150.1</v>
      </c>
      <c r="F20" s="244">
        <v>133</v>
      </c>
      <c r="G20" s="254">
        <v>30</v>
      </c>
      <c r="H20" s="245">
        <f t="shared" si="6"/>
        <v>513</v>
      </c>
      <c r="I20" s="246">
        <v>1.1000000000000001</v>
      </c>
      <c r="J20" s="246">
        <f t="shared" si="4"/>
        <v>564.29999999999995</v>
      </c>
      <c r="K20" s="247"/>
      <c r="L20" s="248"/>
      <c r="M20" s="246">
        <f t="shared" si="7"/>
        <v>564.29999999999995</v>
      </c>
      <c r="N20" s="252">
        <v>564</v>
      </c>
    </row>
    <row r="21" spans="1:16" ht="26.15" customHeight="1">
      <c r="A21" s="59">
        <f t="shared" si="2"/>
        <v>19</v>
      </c>
      <c r="B21" s="59" t="s">
        <v>36</v>
      </c>
      <c r="C21" s="59" t="s">
        <v>16</v>
      </c>
      <c r="D21" s="72">
        <v>135358</v>
      </c>
      <c r="E21" s="61">
        <v>137.30000000000001</v>
      </c>
      <c r="F21" s="76">
        <v>119.9</v>
      </c>
      <c r="G21" s="80">
        <v>40</v>
      </c>
      <c r="H21" s="63">
        <f t="shared" si="6"/>
        <v>696</v>
      </c>
      <c r="I21" s="64">
        <v>1.1000000000000001</v>
      </c>
      <c r="J21" s="64">
        <f t="shared" si="4"/>
        <v>765.6</v>
      </c>
      <c r="K21" s="65"/>
      <c r="L21" s="66"/>
      <c r="M21" s="64">
        <f t="shared" si="7"/>
        <v>765.6</v>
      </c>
      <c r="N21" s="73">
        <v>765.6</v>
      </c>
    </row>
    <row r="22" spans="1:16" s="238" customFormat="1" ht="26.15" customHeight="1">
      <c r="A22" s="241">
        <f t="shared" si="2"/>
        <v>20</v>
      </c>
      <c r="B22" s="241" t="s">
        <v>37</v>
      </c>
      <c r="C22" s="241" t="s">
        <v>16</v>
      </c>
      <c r="D22" s="253">
        <v>135380</v>
      </c>
      <c r="E22" s="243">
        <v>196.7</v>
      </c>
      <c r="F22" s="244">
        <v>167.5</v>
      </c>
      <c r="G22" s="254">
        <v>40</v>
      </c>
      <c r="H22" s="245">
        <f t="shared" si="6"/>
        <v>1168</v>
      </c>
      <c r="I22" s="246">
        <v>1.1000000000000001</v>
      </c>
      <c r="J22" s="246">
        <f t="shared" si="4"/>
        <v>1284.8</v>
      </c>
      <c r="K22" s="247"/>
      <c r="L22" s="248"/>
      <c r="M22" s="246">
        <f t="shared" si="7"/>
        <v>1284.8</v>
      </c>
      <c r="N22" s="252">
        <v>1284</v>
      </c>
    </row>
    <row r="23" spans="1:16" ht="26.15" customHeight="1">
      <c r="A23" s="59">
        <f t="shared" si="2"/>
        <v>21</v>
      </c>
      <c r="B23" s="59" t="s">
        <v>38</v>
      </c>
      <c r="C23" s="59" t="s">
        <v>16</v>
      </c>
      <c r="D23" s="60">
        <v>135376</v>
      </c>
      <c r="E23" s="61">
        <v>13.1</v>
      </c>
      <c r="F23" s="76">
        <v>10.4</v>
      </c>
      <c r="G23" s="76">
        <v>40</v>
      </c>
      <c r="H23" s="63">
        <f t="shared" si="6"/>
        <v>108</v>
      </c>
      <c r="I23" s="64">
        <v>1.1000000000000001</v>
      </c>
      <c r="J23" s="64">
        <f t="shared" si="4"/>
        <v>118.8</v>
      </c>
      <c r="K23" s="65"/>
      <c r="L23" s="66"/>
      <c r="M23" s="64">
        <f t="shared" si="7"/>
        <v>118.8</v>
      </c>
      <c r="N23" s="73">
        <v>119</v>
      </c>
    </row>
    <row r="24" spans="1:16" s="238" customFormat="1" ht="26.15" customHeight="1">
      <c r="A24" s="241">
        <f t="shared" si="2"/>
        <v>22</v>
      </c>
      <c r="B24" s="241" t="s">
        <v>39</v>
      </c>
      <c r="C24" s="241" t="s">
        <v>16</v>
      </c>
      <c r="D24" s="250" t="s">
        <v>40</v>
      </c>
      <c r="E24" s="243">
        <v>214</v>
      </c>
      <c r="F24" s="244">
        <v>141</v>
      </c>
      <c r="G24" s="244">
        <v>1</v>
      </c>
      <c r="H24" s="245">
        <f t="shared" si="6"/>
        <v>73</v>
      </c>
      <c r="I24" s="246">
        <v>1.1000000000000001</v>
      </c>
      <c r="J24" s="246">
        <f t="shared" si="4"/>
        <v>80.3</v>
      </c>
      <c r="K24" s="247"/>
      <c r="L24" s="248"/>
      <c r="M24" s="246">
        <f t="shared" si="7"/>
        <v>80.3</v>
      </c>
      <c r="N24" s="252">
        <v>80.3</v>
      </c>
      <c r="P24" s="255">
        <f>N24+39.6</f>
        <v>119.9</v>
      </c>
    </row>
    <row r="25" spans="1:16" ht="26.15" customHeight="1">
      <c r="A25" s="59">
        <f t="shared" si="2"/>
        <v>23</v>
      </c>
      <c r="B25" s="59" t="s">
        <v>41</v>
      </c>
      <c r="C25" s="59" t="s">
        <v>16</v>
      </c>
      <c r="D25" s="251" t="s">
        <v>42</v>
      </c>
      <c r="E25" s="61">
        <v>540</v>
      </c>
      <c r="F25" s="76">
        <v>353</v>
      </c>
      <c r="G25" s="76">
        <v>1</v>
      </c>
      <c r="H25" s="63">
        <f t="shared" si="6"/>
        <v>187</v>
      </c>
      <c r="I25" s="64">
        <v>1.1000000000000001</v>
      </c>
      <c r="J25" s="64">
        <f t="shared" si="4"/>
        <v>205.7</v>
      </c>
      <c r="K25" s="65"/>
      <c r="L25" s="66"/>
      <c r="M25" s="64">
        <f t="shared" si="7"/>
        <v>205.7</v>
      </c>
      <c r="N25" s="73">
        <v>205.7</v>
      </c>
    </row>
    <row r="26" spans="1:16" s="238" customFormat="1" ht="26.15" customHeight="1">
      <c r="A26" s="241">
        <f t="shared" si="2"/>
        <v>24</v>
      </c>
      <c r="B26" s="241" t="s">
        <v>43</v>
      </c>
      <c r="C26" s="241" t="s">
        <v>16</v>
      </c>
      <c r="D26" s="242">
        <v>281917</v>
      </c>
      <c r="E26" s="243">
        <v>17.399999999999999</v>
      </c>
      <c r="F26" s="244">
        <v>0.8</v>
      </c>
      <c r="G26" s="244">
        <v>100</v>
      </c>
      <c r="H26" s="245">
        <f t="shared" si="6"/>
        <v>1660</v>
      </c>
      <c r="I26" s="246">
        <v>1.1000000000000001</v>
      </c>
      <c r="J26" s="246">
        <f t="shared" si="4"/>
        <v>1826</v>
      </c>
      <c r="K26" s="247"/>
      <c r="L26" s="248"/>
      <c r="M26" s="246">
        <f t="shared" si="7"/>
        <v>1826</v>
      </c>
      <c r="N26" s="252">
        <v>1826</v>
      </c>
    </row>
    <row r="27" spans="1:16" ht="26.15" customHeight="1">
      <c r="A27" s="59">
        <f t="shared" si="2"/>
        <v>25</v>
      </c>
      <c r="B27" s="59" t="s">
        <v>44</v>
      </c>
      <c r="C27" s="59" t="s">
        <v>16</v>
      </c>
      <c r="D27" s="60">
        <v>136865</v>
      </c>
      <c r="E27" s="61">
        <v>164</v>
      </c>
      <c r="F27" s="76">
        <v>120.5</v>
      </c>
      <c r="G27" s="76">
        <v>20</v>
      </c>
      <c r="H27" s="63">
        <f t="shared" si="6"/>
        <v>870</v>
      </c>
      <c r="I27" s="64">
        <v>1.1000000000000001</v>
      </c>
      <c r="J27" s="64">
        <f t="shared" si="4"/>
        <v>957</v>
      </c>
      <c r="K27" s="65">
        <f>-1458.6-159.5</f>
        <v>-1618.1</v>
      </c>
      <c r="L27" s="66" t="s">
        <v>45</v>
      </c>
      <c r="M27" s="64">
        <v>0</v>
      </c>
      <c r="N27" s="73"/>
      <c r="P27" s="68"/>
    </row>
    <row r="28" spans="1:16" s="238" customFormat="1" ht="26.15" customHeight="1">
      <c r="A28" s="241">
        <f t="shared" si="2"/>
        <v>26</v>
      </c>
      <c r="B28" s="241" t="s">
        <v>46</v>
      </c>
      <c r="C28" s="241" t="s">
        <v>16</v>
      </c>
      <c r="D28" s="242">
        <v>121780</v>
      </c>
      <c r="E28" s="243">
        <v>20.100000000000001</v>
      </c>
      <c r="F28" s="244">
        <v>14.2</v>
      </c>
      <c r="G28" s="244">
        <v>20</v>
      </c>
      <c r="H28" s="245">
        <f t="shared" si="6"/>
        <v>118</v>
      </c>
      <c r="I28" s="246">
        <v>1.1000000000000001</v>
      </c>
      <c r="J28" s="246">
        <f t="shared" si="4"/>
        <v>129.80000000000001</v>
      </c>
      <c r="K28" s="247"/>
      <c r="L28" s="248"/>
      <c r="M28" s="246">
        <f t="shared" si="7"/>
        <v>129.80000000000001</v>
      </c>
      <c r="N28" s="252">
        <v>130</v>
      </c>
    </row>
    <row r="29" spans="1:16" ht="26.15" customHeight="1">
      <c r="A29" s="59">
        <f t="shared" si="2"/>
        <v>27</v>
      </c>
      <c r="B29" s="59" t="s">
        <v>47</v>
      </c>
      <c r="C29" s="59" t="s">
        <v>16</v>
      </c>
      <c r="D29" s="60">
        <v>135940</v>
      </c>
      <c r="E29" s="61">
        <v>16.7</v>
      </c>
      <c r="F29" s="76">
        <v>5.9</v>
      </c>
      <c r="G29" s="76">
        <v>30</v>
      </c>
      <c r="H29" s="63">
        <f t="shared" si="6"/>
        <v>324</v>
      </c>
      <c r="I29" s="64">
        <v>1.1000000000000001</v>
      </c>
      <c r="J29" s="64">
        <f t="shared" si="4"/>
        <v>356.4</v>
      </c>
      <c r="K29" s="65"/>
      <c r="L29" s="66"/>
      <c r="M29" s="64">
        <f t="shared" si="7"/>
        <v>356.4</v>
      </c>
      <c r="N29" s="73">
        <v>357</v>
      </c>
    </row>
    <row r="30" spans="1:16" s="238" customFormat="1" ht="26.15" customHeight="1">
      <c r="A30" s="241">
        <f t="shared" si="2"/>
        <v>28</v>
      </c>
      <c r="B30" s="241" t="s">
        <v>48</v>
      </c>
      <c r="C30" s="241" t="s">
        <v>16</v>
      </c>
      <c r="D30" s="256">
        <v>121780</v>
      </c>
      <c r="E30" s="245">
        <f>N35/G30+F30</f>
        <v>1625.8233333333301</v>
      </c>
      <c r="F30" s="245">
        <v>680.7</v>
      </c>
      <c r="G30" s="245">
        <v>30</v>
      </c>
      <c r="H30" s="245">
        <f t="shared" si="6"/>
        <v>28353.7</v>
      </c>
      <c r="I30" s="246">
        <v>1.1000000000000001</v>
      </c>
      <c r="J30" s="246">
        <f t="shared" si="4"/>
        <v>31189.07</v>
      </c>
      <c r="K30" s="247"/>
      <c r="L30" s="248"/>
      <c r="M30" s="246">
        <v>0</v>
      </c>
      <c r="N30" s="252"/>
    </row>
    <row r="31" spans="1:16" ht="26.15" customHeight="1">
      <c r="A31" s="59">
        <f t="shared" si="2"/>
        <v>29</v>
      </c>
      <c r="B31" s="520" t="s">
        <v>49</v>
      </c>
      <c r="C31" s="59" t="s">
        <v>50</v>
      </c>
      <c r="D31" s="237"/>
      <c r="E31" s="63">
        <v>244</v>
      </c>
      <c r="F31" s="63">
        <v>0</v>
      </c>
      <c r="G31" s="63">
        <v>1</v>
      </c>
      <c r="H31" s="63">
        <f t="shared" si="6"/>
        <v>244</v>
      </c>
      <c r="I31" s="64">
        <v>1.1000000000000001</v>
      </c>
      <c r="J31" s="64">
        <f t="shared" si="4"/>
        <v>268.39999999999998</v>
      </c>
      <c r="K31" s="65"/>
      <c r="L31" s="66"/>
      <c r="M31" s="529">
        <f>J31+J32</f>
        <v>858</v>
      </c>
      <c r="N31" s="524">
        <v>858</v>
      </c>
    </row>
    <row r="32" spans="1:16" ht="26.15" customHeight="1">
      <c r="A32" s="59">
        <f t="shared" si="2"/>
        <v>30</v>
      </c>
      <c r="B32" s="520"/>
      <c r="C32" s="59" t="s">
        <v>16</v>
      </c>
      <c r="D32" s="237"/>
      <c r="E32" s="63">
        <v>6.7</v>
      </c>
      <c r="F32" s="63">
        <v>0</v>
      </c>
      <c r="G32" s="63">
        <v>80</v>
      </c>
      <c r="H32" s="63">
        <f t="shared" si="6"/>
        <v>536</v>
      </c>
      <c r="I32" s="64">
        <v>1.1000000000000001</v>
      </c>
      <c r="J32" s="64">
        <f t="shared" si="4"/>
        <v>589.6</v>
      </c>
      <c r="K32" s="65"/>
      <c r="L32" s="66"/>
      <c r="M32" s="529"/>
      <c r="N32" s="524"/>
    </row>
    <row r="33" spans="1:15" ht="26.15" customHeight="1">
      <c r="A33" s="520" t="s">
        <v>51</v>
      </c>
      <c r="B33" s="520"/>
      <c r="C33" s="520"/>
      <c r="D33" s="520"/>
      <c r="E33" s="520"/>
      <c r="F33" s="520"/>
      <c r="G33" s="520"/>
      <c r="H33" s="520"/>
      <c r="I33" s="520"/>
      <c r="J33" s="161">
        <f>SUM(J3:J32)</f>
        <v>60805.47</v>
      </c>
      <c r="K33" s="520"/>
      <c r="L33" s="520"/>
      <c r="M33" s="64">
        <f>SUM(M3:M32)</f>
        <v>28425.4</v>
      </c>
      <c r="N33" s="73">
        <f>SUM(N3:N32)</f>
        <v>28423.7</v>
      </c>
      <c r="O33" s="68"/>
    </row>
    <row r="34" spans="1:15" ht="26.15" customHeight="1">
      <c r="M34" s="12" t="s">
        <v>52</v>
      </c>
      <c r="N34" s="8">
        <v>70</v>
      </c>
    </row>
    <row r="35" spans="1:15" ht="26.15" customHeight="1">
      <c r="M35" s="12" t="s">
        <v>53</v>
      </c>
      <c r="N35" s="8">
        <f>N33-N34</f>
        <v>28353.7</v>
      </c>
    </row>
  </sheetData>
  <mergeCells count="18">
    <mergeCell ref="N5:N6"/>
    <mergeCell ref="N7:N8"/>
    <mergeCell ref="N11:N12"/>
    <mergeCell ref="N31:N32"/>
    <mergeCell ref="A1:N1"/>
    <mergeCell ref="M3:M4"/>
    <mergeCell ref="M5:M6"/>
    <mergeCell ref="M7:M8"/>
    <mergeCell ref="M11:M12"/>
    <mergeCell ref="M31:M32"/>
    <mergeCell ref="N3:N4"/>
    <mergeCell ref="A33:B33"/>
    <mergeCell ref="C33:I33"/>
    <mergeCell ref="K33:L33"/>
    <mergeCell ref="B5:B6"/>
    <mergeCell ref="B7:B8"/>
    <mergeCell ref="B11:B12"/>
    <mergeCell ref="B31:B32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workbookViewId="0">
      <pane xSplit="13" ySplit="1" topLeftCell="AC26" activePane="bottomRight" state="frozen"/>
      <selection pane="topRight"/>
      <selection pane="bottomLeft"/>
      <selection pane="bottomRight" activeCell="O12" sqref="O12"/>
    </sheetView>
  </sheetViews>
  <sheetFormatPr defaultColWidth="8.6640625" defaultRowHeight="26.15" customHeight="1"/>
  <cols>
    <col min="1" max="1" width="4.75" style="10" customWidth="1"/>
    <col min="2" max="2" width="9.58203125" style="10" customWidth="1"/>
    <col min="3" max="3" width="7.0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6.83203125" style="9" customWidth="1"/>
    <col min="10" max="10" width="12" style="9" customWidth="1"/>
    <col min="11" max="11" width="10.58203125" style="9" customWidth="1"/>
    <col min="12" max="12" width="12.25" style="9" customWidth="1"/>
    <col min="13" max="13" width="11.9140625" style="213" customWidth="1"/>
    <col min="14" max="14" width="12" style="8" customWidth="1"/>
    <col min="15" max="15" width="11.5" style="9" customWidth="1"/>
    <col min="16" max="16384" width="8.6640625" style="9"/>
  </cols>
  <sheetData>
    <row r="1" spans="1:15" ht="40" customHeight="1">
      <c r="B1" s="526" t="s">
        <v>54</v>
      </c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</row>
    <row r="2" spans="1:15" s="211" customFormat="1" ht="26.15" customHeight="1">
      <c r="A2" s="214" t="s">
        <v>1</v>
      </c>
      <c r="B2" s="214" t="s">
        <v>2</v>
      </c>
      <c r="C2" s="214" t="s">
        <v>3</v>
      </c>
      <c r="D2" s="215" t="s">
        <v>4</v>
      </c>
      <c r="E2" s="214" t="s">
        <v>5</v>
      </c>
      <c r="F2" s="214" t="s">
        <v>6</v>
      </c>
      <c r="G2" s="214" t="s">
        <v>7</v>
      </c>
      <c r="H2" s="214" t="s">
        <v>8</v>
      </c>
      <c r="I2" s="214" t="s">
        <v>9</v>
      </c>
      <c r="J2" s="214" t="s">
        <v>10</v>
      </c>
      <c r="K2" s="214" t="s">
        <v>11</v>
      </c>
      <c r="L2" s="214" t="s">
        <v>12</v>
      </c>
      <c r="M2" s="214" t="s">
        <v>13</v>
      </c>
      <c r="N2" s="214" t="s">
        <v>14</v>
      </c>
    </row>
    <row r="3" spans="1:15" ht="26.15" customHeight="1">
      <c r="A3" s="59">
        <f>ROW()-2</f>
        <v>1</v>
      </c>
      <c r="B3" s="59" t="s">
        <v>15</v>
      </c>
      <c r="C3" s="59" t="s">
        <v>16</v>
      </c>
      <c r="D3" s="60">
        <v>135407</v>
      </c>
      <c r="E3" s="62">
        <v>862</v>
      </c>
      <c r="F3" s="236">
        <f>VLOOKUP(D3,'2025年3月电费'!D:N,2,0)</f>
        <v>803.8</v>
      </c>
      <c r="G3" s="63">
        <v>60</v>
      </c>
      <c r="H3" s="63">
        <f t="shared" ref="H3:H32" si="0">(E3-F3)*G3</f>
        <v>3492</v>
      </c>
      <c r="I3" s="64">
        <v>1.1000000000000001</v>
      </c>
      <c r="J3" s="64">
        <f>H3*I3</f>
        <v>3841.2</v>
      </c>
      <c r="K3" s="65">
        <v>-300</v>
      </c>
      <c r="L3" s="66"/>
      <c r="M3" s="527">
        <f t="shared" ref="M3" si="1">J3+J4+K3+K4</f>
        <v>4214.3999999999996</v>
      </c>
      <c r="N3" s="524">
        <v>4214.3999999999996</v>
      </c>
    </row>
    <row r="4" spans="1:15" ht="26.15" customHeight="1">
      <c r="A4" s="59">
        <f t="shared" ref="A4:A32" si="2">ROW()-2</f>
        <v>2</v>
      </c>
      <c r="B4" s="59" t="s">
        <v>15</v>
      </c>
      <c r="C4" s="59" t="s">
        <v>17</v>
      </c>
      <c r="D4" s="60">
        <v>222933</v>
      </c>
      <c r="E4" s="61">
        <v>6945</v>
      </c>
      <c r="F4" s="236">
        <f>VLOOKUP(D4,'2025年3月电费'!D:N,2,0)</f>
        <v>6333</v>
      </c>
      <c r="G4" s="61">
        <v>1</v>
      </c>
      <c r="H4" s="63">
        <f t="shared" si="0"/>
        <v>612</v>
      </c>
      <c r="I4" s="64">
        <v>1.1000000000000001</v>
      </c>
      <c r="J4" s="64">
        <f>H4*I4</f>
        <v>673.2</v>
      </c>
      <c r="K4" s="65"/>
      <c r="L4" s="66"/>
      <c r="M4" s="527"/>
      <c r="N4" s="524"/>
    </row>
    <row r="5" spans="1:15" ht="26.15" customHeight="1">
      <c r="A5" s="59">
        <f t="shared" si="2"/>
        <v>3</v>
      </c>
      <c r="B5" s="520" t="s">
        <v>18</v>
      </c>
      <c r="C5" s="59" t="s">
        <v>16</v>
      </c>
      <c r="D5" s="60">
        <v>135406</v>
      </c>
      <c r="E5" s="61">
        <v>384.8</v>
      </c>
      <c r="F5" s="61">
        <f>VLOOKUP(D5,'2025年3月电费'!D:N,2,0)</f>
        <v>352.9</v>
      </c>
      <c r="G5" s="63">
        <v>40</v>
      </c>
      <c r="H5" s="63">
        <f t="shared" si="0"/>
        <v>1276</v>
      </c>
      <c r="I5" s="64">
        <v>1.1000000000000001</v>
      </c>
      <c r="J5" s="64">
        <f>H5*I5</f>
        <v>1403.6</v>
      </c>
      <c r="K5" s="65"/>
      <c r="L5" s="66"/>
      <c r="M5" s="527">
        <f>J5+J6+K5+K6</f>
        <v>1441</v>
      </c>
      <c r="N5" s="532">
        <v>1441</v>
      </c>
      <c r="O5" s="68"/>
    </row>
    <row r="6" spans="1:15" ht="26.15" customHeight="1">
      <c r="A6" s="59">
        <f t="shared" si="2"/>
        <v>4</v>
      </c>
      <c r="B6" s="520"/>
      <c r="C6" s="59" t="s">
        <v>17</v>
      </c>
      <c r="D6" s="85" t="s">
        <v>19</v>
      </c>
      <c r="E6" s="61">
        <v>152</v>
      </c>
      <c r="F6" s="61">
        <f>VLOOKUP(D6,'2025年3月电费'!D:N,2,0)</f>
        <v>118</v>
      </c>
      <c r="G6" s="63">
        <v>1</v>
      </c>
      <c r="H6" s="63">
        <f t="shared" si="0"/>
        <v>34</v>
      </c>
      <c r="I6" s="64">
        <v>1.1000000000000001</v>
      </c>
      <c r="J6" s="64">
        <f>H6*I6</f>
        <v>37.4</v>
      </c>
      <c r="K6" s="65"/>
      <c r="L6" s="66"/>
      <c r="M6" s="527"/>
      <c r="N6" s="533"/>
    </row>
    <row r="7" spans="1:15" ht="26.15" customHeight="1">
      <c r="A7" s="59">
        <f t="shared" si="2"/>
        <v>5</v>
      </c>
      <c r="B7" s="520" t="s">
        <v>20</v>
      </c>
      <c r="C7" s="59" t="s">
        <v>16</v>
      </c>
      <c r="D7" s="60">
        <v>135400</v>
      </c>
      <c r="E7" s="61">
        <v>10.5</v>
      </c>
      <c r="F7" s="236">
        <f>VLOOKUP(D7,'2025年3月电费'!D:N,2,0)</f>
        <v>10</v>
      </c>
      <c r="G7" s="63">
        <v>40</v>
      </c>
      <c r="H7" s="63">
        <f t="shared" si="0"/>
        <v>20</v>
      </c>
      <c r="I7" s="64">
        <v>1.1000000000000001</v>
      </c>
      <c r="J7" s="64">
        <f t="shared" ref="J7:J32" si="3">H7*I7</f>
        <v>22</v>
      </c>
      <c r="K7" s="65"/>
      <c r="L7" s="66"/>
      <c r="M7" s="527">
        <f t="shared" ref="M7" si="4">J7+J8+K7+K8</f>
        <v>78.099999999999994</v>
      </c>
      <c r="N7" s="524">
        <v>78.099999999999994</v>
      </c>
    </row>
    <row r="8" spans="1:15" ht="26.15" customHeight="1">
      <c r="A8" s="59">
        <f t="shared" si="2"/>
        <v>6</v>
      </c>
      <c r="B8" s="520"/>
      <c r="C8" s="59" t="s">
        <v>17</v>
      </c>
      <c r="D8" s="85" t="s">
        <v>21</v>
      </c>
      <c r="E8" s="63">
        <v>374</v>
      </c>
      <c r="F8" s="236">
        <f>VLOOKUP(D8,'2025年3月电费'!D:N,2,0)</f>
        <v>323</v>
      </c>
      <c r="G8" s="63">
        <v>1</v>
      </c>
      <c r="H8" s="63">
        <f t="shared" si="0"/>
        <v>51</v>
      </c>
      <c r="I8" s="64">
        <v>1.1000000000000001</v>
      </c>
      <c r="J8" s="64">
        <f t="shared" si="3"/>
        <v>56.1</v>
      </c>
      <c r="K8" s="65"/>
      <c r="L8" s="66"/>
      <c r="M8" s="527"/>
      <c r="N8" s="524"/>
    </row>
    <row r="9" spans="1:15" ht="26.15" customHeight="1">
      <c r="A9" s="59">
        <f t="shared" si="2"/>
        <v>7</v>
      </c>
      <c r="B9" s="59" t="s">
        <v>22</v>
      </c>
      <c r="C9" s="59" t="s">
        <v>16</v>
      </c>
      <c r="D9" s="60">
        <v>135405</v>
      </c>
      <c r="E9" s="61">
        <v>282.2</v>
      </c>
      <c r="F9" s="61">
        <f>VLOOKUP(D9,'2025年3月电费'!D:N,2,0)</f>
        <v>253.4</v>
      </c>
      <c r="G9" s="63">
        <v>40</v>
      </c>
      <c r="H9" s="63">
        <f t="shared" si="0"/>
        <v>1152</v>
      </c>
      <c r="I9" s="64">
        <v>1.1000000000000001</v>
      </c>
      <c r="J9" s="64">
        <f t="shared" si="3"/>
        <v>1267.2</v>
      </c>
      <c r="K9" s="65"/>
      <c r="L9" s="66"/>
      <c r="M9" s="64">
        <f t="shared" ref="M9:M30" si="5">J9+K9</f>
        <v>1267.2</v>
      </c>
      <c r="N9" s="73">
        <v>1267</v>
      </c>
    </row>
    <row r="10" spans="1:15" ht="26.15" customHeight="1">
      <c r="A10" s="59">
        <f t="shared" si="2"/>
        <v>8</v>
      </c>
      <c r="B10" s="59" t="s">
        <v>23</v>
      </c>
      <c r="C10" s="59" t="s">
        <v>16</v>
      </c>
      <c r="D10" s="60">
        <v>135401</v>
      </c>
      <c r="E10" s="61">
        <v>56.7</v>
      </c>
      <c r="F10" s="236">
        <f>VLOOKUP(D10,'2025年3月电费'!D:N,2,0)</f>
        <v>50.4</v>
      </c>
      <c r="G10" s="63">
        <v>20</v>
      </c>
      <c r="H10" s="63">
        <f t="shared" si="0"/>
        <v>126</v>
      </c>
      <c r="I10" s="64">
        <v>1.1000000000000001</v>
      </c>
      <c r="J10" s="64">
        <f t="shared" si="3"/>
        <v>138.6</v>
      </c>
      <c r="K10" s="65"/>
      <c r="L10" s="66"/>
      <c r="M10" s="64">
        <f t="shared" si="5"/>
        <v>138.6</v>
      </c>
      <c r="N10" s="73">
        <v>139</v>
      </c>
    </row>
    <row r="11" spans="1:15" ht="26.15" customHeight="1">
      <c r="A11" s="59">
        <f t="shared" si="2"/>
        <v>9</v>
      </c>
      <c r="B11" s="520" t="s">
        <v>24</v>
      </c>
      <c r="C11" s="59" t="s">
        <v>25</v>
      </c>
      <c r="D11" s="60">
        <v>135402</v>
      </c>
      <c r="E11" s="61">
        <v>423.9</v>
      </c>
      <c r="F11" s="61">
        <f>VLOOKUP(D11,'2025年3月电费'!D:N,2,0)</f>
        <v>379.5</v>
      </c>
      <c r="G11" s="63">
        <v>20</v>
      </c>
      <c r="H11" s="63">
        <f t="shared" si="0"/>
        <v>888</v>
      </c>
      <c r="I11" s="64">
        <v>1.1000000000000001</v>
      </c>
      <c r="J11" s="64">
        <f t="shared" si="3"/>
        <v>976.8</v>
      </c>
      <c r="K11" s="65"/>
      <c r="L11" s="66"/>
      <c r="M11" s="527">
        <f>J11+J12+K11+K12</f>
        <v>1746.8</v>
      </c>
      <c r="N11" s="524">
        <v>1746.8</v>
      </c>
    </row>
    <row r="12" spans="1:15" ht="26.15" customHeight="1">
      <c r="A12" s="59">
        <f t="shared" si="2"/>
        <v>10</v>
      </c>
      <c r="B12" s="520"/>
      <c r="C12" s="59" t="s">
        <v>26</v>
      </c>
      <c r="D12" s="60">
        <v>135408</v>
      </c>
      <c r="E12" s="61">
        <v>161.69999999999999</v>
      </c>
      <c r="F12" s="61">
        <f>VLOOKUP(D12,'2025年3月电费'!D:N,2,0)</f>
        <v>144.19999999999999</v>
      </c>
      <c r="G12" s="63">
        <v>40</v>
      </c>
      <c r="H12" s="63">
        <f t="shared" si="0"/>
        <v>700</v>
      </c>
      <c r="I12" s="64">
        <v>1.1000000000000001</v>
      </c>
      <c r="J12" s="64">
        <f t="shared" si="3"/>
        <v>770</v>
      </c>
      <c r="K12" s="65"/>
      <c r="L12" s="66"/>
      <c r="M12" s="527"/>
      <c r="N12" s="524"/>
    </row>
    <row r="13" spans="1:15" ht="26.15" customHeight="1">
      <c r="A13" s="59">
        <f t="shared" si="2"/>
        <v>11</v>
      </c>
      <c r="B13" s="59" t="s">
        <v>27</v>
      </c>
      <c r="C13" s="59" t="s">
        <v>16</v>
      </c>
      <c r="D13" s="60">
        <v>136866</v>
      </c>
      <c r="E13" s="61">
        <v>185.3</v>
      </c>
      <c r="F13" s="236">
        <f>VLOOKUP(D13,'2025年3月电费'!D:N,2,0)</f>
        <v>172.8</v>
      </c>
      <c r="G13" s="63">
        <v>20</v>
      </c>
      <c r="H13" s="63">
        <f t="shared" si="0"/>
        <v>250</v>
      </c>
      <c r="I13" s="64">
        <v>1.1000000000000001</v>
      </c>
      <c r="J13" s="64">
        <f t="shared" si="3"/>
        <v>275</v>
      </c>
      <c r="K13" s="65"/>
      <c r="L13" s="66"/>
      <c r="M13" s="64">
        <f t="shared" si="5"/>
        <v>275</v>
      </c>
      <c r="N13" s="73">
        <v>275</v>
      </c>
    </row>
    <row r="14" spans="1:15" ht="26.15" customHeight="1">
      <c r="A14" s="59">
        <f t="shared" si="2"/>
        <v>12</v>
      </c>
      <c r="B14" s="59" t="s">
        <v>28</v>
      </c>
      <c r="C14" s="59" t="s">
        <v>16</v>
      </c>
      <c r="D14" s="72">
        <v>135847</v>
      </c>
      <c r="E14" s="61">
        <v>169.8</v>
      </c>
      <c r="F14" s="236">
        <f>VLOOKUP(D14,'2025年3月电费'!D:N,2,0)</f>
        <v>161.19999999999999</v>
      </c>
      <c r="G14" s="63">
        <v>40</v>
      </c>
      <c r="H14" s="63">
        <f t="shared" si="0"/>
        <v>344.00000000000102</v>
      </c>
      <c r="I14" s="64">
        <v>1.1000000000000001</v>
      </c>
      <c r="J14" s="64">
        <f t="shared" si="3"/>
        <v>378.400000000001</v>
      </c>
      <c r="K14" s="65"/>
      <c r="L14" s="66"/>
      <c r="M14" s="64">
        <f t="shared" si="5"/>
        <v>378.400000000001</v>
      </c>
      <c r="N14" s="73">
        <v>378</v>
      </c>
    </row>
    <row r="15" spans="1:15" ht="26.15" customHeight="1">
      <c r="A15" s="59">
        <f t="shared" si="2"/>
        <v>13</v>
      </c>
      <c r="B15" s="59" t="s">
        <v>29</v>
      </c>
      <c r="C15" s="59" t="s">
        <v>16</v>
      </c>
      <c r="D15" s="60">
        <v>135848</v>
      </c>
      <c r="E15" s="61">
        <v>438</v>
      </c>
      <c r="F15" s="236">
        <f>VLOOKUP(D15,'2025年3月电费'!D:N,2,0)</f>
        <v>375.2</v>
      </c>
      <c r="G15" s="76">
        <v>40</v>
      </c>
      <c r="H15" s="63">
        <f t="shared" si="0"/>
        <v>2512</v>
      </c>
      <c r="I15" s="64">
        <v>1.1000000000000001</v>
      </c>
      <c r="J15" s="64">
        <f t="shared" si="3"/>
        <v>2763.2</v>
      </c>
      <c r="K15" s="65"/>
      <c r="L15" s="66"/>
      <c r="M15" s="64">
        <f t="shared" si="5"/>
        <v>2763.2</v>
      </c>
      <c r="N15" s="73">
        <v>2763.2</v>
      </c>
    </row>
    <row r="16" spans="1:15" ht="26.15" customHeight="1">
      <c r="A16" s="59">
        <f t="shared" si="2"/>
        <v>14</v>
      </c>
      <c r="B16" s="59" t="s">
        <v>31</v>
      </c>
      <c r="C16" s="59" t="s">
        <v>16</v>
      </c>
      <c r="D16" s="60">
        <v>135846</v>
      </c>
      <c r="E16" s="61">
        <v>445.9</v>
      </c>
      <c r="F16" s="236">
        <f>VLOOKUP(D16,'2025年3月电费'!D:N,2,0)</f>
        <v>399.5</v>
      </c>
      <c r="G16" s="76">
        <v>40</v>
      </c>
      <c r="H16" s="63">
        <f t="shared" si="0"/>
        <v>1856</v>
      </c>
      <c r="I16" s="64">
        <v>1.1000000000000001</v>
      </c>
      <c r="J16" s="64">
        <f t="shared" si="3"/>
        <v>2041.6</v>
      </c>
      <c r="K16" s="65"/>
      <c r="L16" s="66"/>
      <c r="M16" s="64">
        <f t="shared" si="5"/>
        <v>2041.6</v>
      </c>
      <c r="N16" s="73">
        <v>2041.6</v>
      </c>
    </row>
    <row r="17" spans="1:14" ht="26.15" customHeight="1">
      <c r="A17" s="59">
        <f t="shared" si="2"/>
        <v>15</v>
      </c>
      <c r="B17" s="59" t="s">
        <v>32</v>
      </c>
      <c r="C17" s="59" t="s">
        <v>16</v>
      </c>
      <c r="D17" s="60">
        <v>135845</v>
      </c>
      <c r="E17" s="61">
        <v>308.3</v>
      </c>
      <c r="F17" s="236">
        <f>VLOOKUP(D17,'2025年3月电费'!D:N,2,0)</f>
        <v>273.5</v>
      </c>
      <c r="G17" s="76">
        <v>40</v>
      </c>
      <c r="H17" s="63">
        <f t="shared" si="0"/>
        <v>1392</v>
      </c>
      <c r="I17" s="64">
        <v>1.1000000000000001</v>
      </c>
      <c r="J17" s="64">
        <f t="shared" si="3"/>
        <v>1531.2</v>
      </c>
      <c r="K17" s="65"/>
      <c r="L17" s="66"/>
      <c r="M17" s="64">
        <f t="shared" si="5"/>
        <v>1531.2</v>
      </c>
      <c r="N17" s="73">
        <v>1531</v>
      </c>
    </row>
    <row r="18" spans="1:14" ht="26.15" customHeight="1">
      <c r="A18" s="59">
        <f t="shared" si="2"/>
        <v>16</v>
      </c>
      <c r="B18" s="59" t="s">
        <v>33</v>
      </c>
      <c r="C18" s="59" t="s">
        <v>16</v>
      </c>
      <c r="D18" s="72">
        <v>135844</v>
      </c>
      <c r="E18" s="61">
        <v>28</v>
      </c>
      <c r="F18" s="236">
        <f>VLOOKUP(D18,'2025年3月电费'!D:N,2,0)</f>
        <v>21.6</v>
      </c>
      <c r="G18" s="80">
        <v>30</v>
      </c>
      <c r="H18" s="63">
        <f t="shared" si="0"/>
        <v>192</v>
      </c>
      <c r="I18" s="64">
        <v>1.1000000000000001</v>
      </c>
      <c r="J18" s="64">
        <f t="shared" si="3"/>
        <v>211.2</v>
      </c>
      <c r="K18" s="65"/>
      <c r="L18" s="66"/>
      <c r="M18" s="64">
        <f t="shared" si="5"/>
        <v>211.2</v>
      </c>
      <c r="N18" s="73">
        <v>211</v>
      </c>
    </row>
    <row r="19" spans="1:14" ht="26.15" customHeight="1">
      <c r="A19" s="59">
        <f t="shared" si="2"/>
        <v>17</v>
      </c>
      <c r="B19" s="59" t="s">
        <v>34</v>
      </c>
      <c r="C19" s="59" t="s">
        <v>16</v>
      </c>
      <c r="D19" s="72">
        <v>135844</v>
      </c>
      <c r="E19" s="61">
        <v>30.7</v>
      </c>
      <c r="F19" s="236">
        <v>26.8</v>
      </c>
      <c r="G19" s="80">
        <v>30</v>
      </c>
      <c r="H19" s="63">
        <f t="shared" si="0"/>
        <v>117</v>
      </c>
      <c r="I19" s="64">
        <v>1.1000000000000001</v>
      </c>
      <c r="J19" s="64">
        <f t="shared" si="3"/>
        <v>128.69999999999999</v>
      </c>
      <c r="K19" s="65"/>
      <c r="L19" s="66"/>
      <c r="M19" s="64">
        <f t="shared" si="5"/>
        <v>128.69999999999999</v>
      </c>
      <c r="N19" s="73">
        <v>128.69999999999999</v>
      </c>
    </row>
    <row r="20" spans="1:14" ht="26.15" customHeight="1">
      <c r="A20" s="59">
        <f t="shared" si="2"/>
        <v>18</v>
      </c>
      <c r="B20" s="59" t="s">
        <v>35</v>
      </c>
      <c r="C20" s="59" t="s">
        <v>16</v>
      </c>
      <c r="D20" s="72">
        <v>135850</v>
      </c>
      <c r="E20" s="61">
        <v>161.69999999999999</v>
      </c>
      <c r="F20" s="236">
        <f>VLOOKUP(D20,'2025年3月电费'!D:N,2,0)</f>
        <v>150.1</v>
      </c>
      <c r="G20" s="80">
        <v>30</v>
      </c>
      <c r="H20" s="63">
        <f t="shared" si="0"/>
        <v>348</v>
      </c>
      <c r="I20" s="64">
        <v>1.1000000000000001</v>
      </c>
      <c r="J20" s="64">
        <f t="shared" si="3"/>
        <v>382.8</v>
      </c>
      <c r="K20" s="65"/>
      <c r="L20" s="66"/>
      <c r="M20" s="64">
        <f t="shared" si="5"/>
        <v>382.8</v>
      </c>
      <c r="N20" s="73">
        <v>382</v>
      </c>
    </row>
    <row r="21" spans="1:14" ht="26.15" customHeight="1">
      <c r="A21" s="59">
        <f t="shared" si="2"/>
        <v>19</v>
      </c>
      <c r="B21" s="59" t="s">
        <v>36</v>
      </c>
      <c r="C21" s="59" t="s">
        <v>16</v>
      </c>
      <c r="D21" s="72">
        <v>135358</v>
      </c>
      <c r="E21" s="61">
        <v>153</v>
      </c>
      <c r="F21" s="236">
        <f>VLOOKUP(D21,'2025年3月电费'!D:N,2,0)</f>
        <v>137.30000000000001</v>
      </c>
      <c r="G21" s="80">
        <v>40</v>
      </c>
      <c r="H21" s="63">
        <f t="shared" si="0"/>
        <v>628</v>
      </c>
      <c r="I21" s="64">
        <v>1.1000000000000001</v>
      </c>
      <c r="J21" s="64">
        <f t="shared" si="3"/>
        <v>690.8</v>
      </c>
      <c r="K21" s="65"/>
      <c r="L21" s="66"/>
      <c r="M21" s="64">
        <f t="shared" si="5"/>
        <v>690.8</v>
      </c>
      <c r="N21" s="73">
        <v>690</v>
      </c>
    </row>
    <row r="22" spans="1:14" ht="26.15" customHeight="1">
      <c r="A22" s="59">
        <f t="shared" si="2"/>
        <v>20</v>
      </c>
      <c r="B22" s="59" t="s">
        <v>37</v>
      </c>
      <c r="C22" s="59" t="s">
        <v>16</v>
      </c>
      <c r="D22" s="72">
        <v>135380</v>
      </c>
      <c r="E22" s="61">
        <v>217.7</v>
      </c>
      <c r="F22" s="236">
        <f>VLOOKUP(D22,'2025年3月电费'!D:N,2,0)</f>
        <v>196.7</v>
      </c>
      <c r="G22" s="80">
        <v>40</v>
      </c>
      <c r="H22" s="63">
        <f t="shared" si="0"/>
        <v>840</v>
      </c>
      <c r="I22" s="64">
        <v>1.1000000000000001</v>
      </c>
      <c r="J22" s="64">
        <f t="shared" si="3"/>
        <v>924</v>
      </c>
      <c r="K22" s="65"/>
      <c r="L22" s="66"/>
      <c r="M22" s="64">
        <f t="shared" si="5"/>
        <v>924</v>
      </c>
      <c r="N22" s="73">
        <v>924</v>
      </c>
    </row>
    <row r="23" spans="1:14" ht="26.15" customHeight="1">
      <c r="A23" s="59">
        <f t="shared" si="2"/>
        <v>21</v>
      </c>
      <c r="B23" s="59" t="s">
        <v>38</v>
      </c>
      <c r="C23" s="59" t="s">
        <v>16</v>
      </c>
      <c r="D23" s="60">
        <v>135376</v>
      </c>
      <c r="E23" s="61">
        <v>16.7</v>
      </c>
      <c r="F23" s="236">
        <f>VLOOKUP(D23,'2025年3月电费'!D:N,2,0)</f>
        <v>13.1</v>
      </c>
      <c r="G23" s="76">
        <v>40</v>
      </c>
      <c r="H23" s="63">
        <f t="shared" si="0"/>
        <v>144</v>
      </c>
      <c r="I23" s="64">
        <v>1.1000000000000001</v>
      </c>
      <c r="J23" s="64">
        <f t="shared" si="3"/>
        <v>158.4</v>
      </c>
      <c r="K23" s="65"/>
      <c r="L23" s="66"/>
      <c r="M23" s="64">
        <f t="shared" si="5"/>
        <v>158.4</v>
      </c>
      <c r="N23" s="73">
        <v>159</v>
      </c>
    </row>
    <row r="24" spans="1:14" ht="26.15" customHeight="1">
      <c r="A24" s="59">
        <f t="shared" si="2"/>
        <v>22</v>
      </c>
      <c r="B24" s="59" t="s">
        <v>39</v>
      </c>
      <c r="C24" s="59" t="s">
        <v>16</v>
      </c>
      <c r="D24" s="85" t="s">
        <v>40</v>
      </c>
      <c r="E24" s="61">
        <v>262</v>
      </c>
      <c r="F24" s="236">
        <f>VLOOKUP(D24,'2025年3月电费'!D:N,2,0)</f>
        <v>214</v>
      </c>
      <c r="G24" s="76">
        <v>1</v>
      </c>
      <c r="H24" s="63">
        <f t="shared" si="0"/>
        <v>48</v>
      </c>
      <c r="I24" s="64">
        <v>1.1000000000000001</v>
      </c>
      <c r="J24" s="64">
        <f t="shared" si="3"/>
        <v>52.8</v>
      </c>
      <c r="K24" s="65"/>
      <c r="L24" s="66"/>
      <c r="M24" s="64">
        <f t="shared" si="5"/>
        <v>52.8</v>
      </c>
      <c r="N24" s="73">
        <v>52.8</v>
      </c>
    </row>
    <row r="25" spans="1:14" ht="26.15" customHeight="1">
      <c r="A25" s="59">
        <f t="shared" si="2"/>
        <v>23</v>
      </c>
      <c r="B25" s="59" t="s">
        <v>41</v>
      </c>
      <c r="C25" s="59" t="s">
        <v>16</v>
      </c>
      <c r="D25" s="85" t="s">
        <v>42</v>
      </c>
      <c r="E25" s="61">
        <v>860</v>
      </c>
      <c r="F25" s="236">
        <f>VLOOKUP(D25,'2025年3月电费'!D:N,2,0)</f>
        <v>540</v>
      </c>
      <c r="G25" s="76">
        <v>1</v>
      </c>
      <c r="H25" s="63">
        <f t="shared" si="0"/>
        <v>320</v>
      </c>
      <c r="I25" s="64">
        <v>1.1000000000000001</v>
      </c>
      <c r="J25" s="64">
        <f t="shared" si="3"/>
        <v>352</v>
      </c>
      <c r="K25" s="65"/>
      <c r="L25" s="66"/>
      <c r="M25" s="64">
        <f t="shared" si="5"/>
        <v>352</v>
      </c>
      <c r="N25" s="73">
        <v>352</v>
      </c>
    </row>
    <row r="26" spans="1:14" ht="26.15" customHeight="1">
      <c r="A26" s="59">
        <f t="shared" si="2"/>
        <v>24</v>
      </c>
      <c r="B26" s="59" t="s">
        <v>43</v>
      </c>
      <c r="C26" s="59" t="s">
        <v>16</v>
      </c>
      <c r="D26" s="60">
        <v>281917</v>
      </c>
      <c r="E26" s="61">
        <v>25.8</v>
      </c>
      <c r="F26" s="236">
        <f>VLOOKUP(D26,'2025年3月电费'!D:N,2,0)</f>
        <v>17.399999999999999</v>
      </c>
      <c r="G26" s="76">
        <v>100</v>
      </c>
      <c r="H26" s="63">
        <f t="shared" si="0"/>
        <v>840</v>
      </c>
      <c r="I26" s="64">
        <v>1.1000000000000001</v>
      </c>
      <c r="J26" s="64">
        <f t="shared" si="3"/>
        <v>924</v>
      </c>
      <c r="K26" s="65"/>
      <c r="L26" s="66"/>
      <c r="M26" s="64">
        <f t="shared" si="5"/>
        <v>924</v>
      </c>
      <c r="N26" s="73">
        <v>924</v>
      </c>
    </row>
    <row r="27" spans="1:14" ht="26.15" customHeight="1">
      <c r="A27" s="59">
        <f t="shared" si="2"/>
        <v>25</v>
      </c>
      <c r="B27" s="59" t="s">
        <v>44</v>
      </c>
      <c r="C27" s="59" t="s">
        <v>16</v>
      </c>
      <c r="D27" s="60">
        <v>136865</v>
      </c>
      <c r="E27" s="61">
        <v>214.5</v>
      </c>
      <c r="F27" s="236">
        <f>VLOOKUP(D27,'2025年3月电费'!D:N,2,0)</f>
        <v>164</v>
      </c>
      <c r="G27" s="76">
        <v>20</v>
      </c>
      <c r="H27" s="63">
        <f t="shared" si="0"/>
        <v>1010</v>
      </c>
      <c r="I27" s="64">
        <v>1.1000000000000001</v>
      </c>
      <c r="J27" s="64">
        <f t="shared" si="3"/>
        <v>1111</v>
      </c>
      <c r="K27" s="65">
        <v>-661.1</v>
      </c>
      <c r="L27" s="66" t="s">
        <v>55</v>
      </c>
      <c r="M27" s="73">
        <f t="shared" si="5"/>
        <v>449.9</v>
      </c>
      <c r="N27" s="73">
        <v>449.9</v>
      </c>
    </row>
    <row r="28" spans="1:14" ht="26.15" customHeight="1">
      <c r="A28" s="59">
        <f t="shared" si="2"/>
        <v>26</v>
      </c>
      <c r="B28" s="59" t="s">
        <v>46</v>
      </c>
      <c r="C28" s="59" t="s">
        <v>16</v>
      </c>
      <c r="D28" s="60">
        <v>121780</v>
      </c>
      <c r="E28" s="61">
        <v>29</v>
      </c>
      <c r="F28" s="236">
        <f>VLOOKUP(D28,'2025年3月电费'!D:N,2,0)</f>
        <v>20.100000000000001</v>
      </c>
      <c r="G28" s="76">
        <v>20</v>
      </c>
      <c r="H28" s="63">
        <f t="shared" si="0"/>
        <v>178</v>
      </c>
      <c r="I28" s="64">
        <v>1.1000000000000001</v>
      </c>
      <c r="J28" s="64">
        <f t="shared" si="3"/>
        <v>195.8</v>
      </c>
      <c r="K28" s="65"/>
      <c r="L28" s="66"/>
      <c r="M28" s="64">
        <f t="shared" si="5"/>
        <v>195.8</v>
      </c>
      <c r="N28" s="73">
        <v>195.8</v>
      </c>
    </row>
    <row r="29" spans="1:14" ht="26.15" customHeight="1">
      <c r="A29" s="59">
        <f t="shared" si="2"/>
        <v>27</v>
      </c>
      <c r="B29" s="59" t="s">
        <v>47</v>
      </c>
      <c r="C29" s="59" t="s">
        <v>16</v>
      </c>
      <c r="D29" s="60">
        <v>135940</v>
      </c>
      <c r="E29" s="61">
        <v>24.7</v>
      </c>
      <c r="F29" s="236">
        <f>VLOOKUP(D29,'2025年3月电费'!D:N,2,0)</f>
        <v>16.7</v>
      </c>
      <c r="G29" s="76">
        <v>30</v>
      </c>
      <c r="H29" s="63">
        <f t="shared" si="0"/>
        <v>240</v>
      </c>
      <c r="I29" s="64">
        <v>1.1000000000000001</v>
      </c>
      <c r="J29" s="64">
        <f t="shared" si="3"/>
        <v>264</v>
      </c>
      <c r="K29" s="65"/>
      <c r="L29" s="66"/>
      <c r="M29" s="64">
        <f t="shared" si="5"/>
        <v>264</v>
      </c>
      <c r="N29" s="73">
        <v>264</v>
      </c>
    </row>
    <row r="30" spans="1:14" ht="26.15" customHeight="1">
      <c r="A30" s="59">
        <f t="shared" si="2"/>
        <v>28</v>
      </c>
      <c r="B30" s="59" t="s">
        <v>48</v>
      </c>
      <c r="C30" s="59" t="s">
        <v>16</v>
      </c>
      <c r="D30" s="85">
        <v>121780</v>
      </c>
      <c r="E30" s="63">
        <f>1625.82+270.73</f>
        <v>1896.55</v>
      </c>
      <c r="F30" s="63">
        <v>1625.82</v>
      </c>
      <c r="G30" s="63">
        <v>30</v>
      </c>
      <c r="H30" s="63">
        <f t="shared" si="0"/>
        <v>8121.9</v>
      </c>
      <c r="I30" s="64">
        <v>1.1000000000000001</v>
      </c>
      <c r="J30" s="64">
        <v>0</v>
      </c>
      <c r="K30" s="64"/>
      <c r="L30" s="66"/>
      <c r="M30" s="64">
        <f t="shared" si="5"/>
        <v>0</v>
      </c>
      <c r="N30" s="73"/>
    </row>
    <row r="31" spans="1:14" ht="26.15" customHeight="1">
      <c r="A31" s="59">
        <f t="shared" si="2"/>
        <v>29</v>
      </c>
      <c r="B31" s="520" t="s">
        <v>49</v>
      </c>
      <c r="C31" s="59" t="s">
        <v>50</v>
      </c>
      <c r="D31" s="237"/>
      <c r="E31" s="63">
        <v>256</v>
      </c>
      <c r="F31" s="236">
        <v>244</v>
      </c>
      <c r="G31" s="63">
        <v>1</v>
      </c>
      <c r="H31" s="63">
        <f t="shared" si="0"/>
        <v>12</v>
      </c>
      <c r="I31" s="64">
        <v>1.1000000000000001</v>
      </c>
      <c r="J31" s="64">
        <f t="shared" si="3"/>
        <v>13.2</v>
      </c>
      <c r="K31" s="65"/>
      <c r="L31" s="66"/>
      <c r="M31" s="529">
        <f>J31+J32</f>
        <v>12826</v>
      </c>
      <c r="N31" s="524">
        <v>12826</v>
      </c>
    </row>
    <row r="32" spans="1:14" ht="26.15" customHeight="1">
      <c r="A32" s="59">
        <f t="shared" si="2"/>
        <v>30</v>
      </c>
      <c r="B32" s="520"/>
      <c r="C32" s="59" t="s">
        <v>16</v>
      </c>
      <c r="D32" s="237"/>
      <c r="E32" s="63">
        <v>152.30000000000001</v>
      </c>
      <c r="F32" s="236">
        <v>6.7</v>
      </c>
      <c r="G32" s="63">
        <v>80</v>
      </c>
      <c r="H32" s="63">
        <f t="shared" si="0"/>
        <v>11648</v>
      </c>
      <c r="I32" s="64">
        <v>1.1000000000000001</v>
      </c>
      <c r="J32" s="64">
        <f t="shared" si="3"/>
        <v>12812.8</v>
      </c>
      <c r="K32" s="65"/>
      <c r="L32" s="66"/>
      <c r="M32" s="529"/>
      <c r="N32" s="524"/>
    </row>
    <row r="33" spans="1:15" ht="26.15" customHeight="1">
      <c r="A33" s="530" t="s">
        <v>51</v>
      </c>
      <c r="B33" s="530"/>
      <c r="C33" s="520"/>
      <c r="D33" s="520"/>
      <c r="E33" s="520"/>
      <c r="F33" s="520"/>
      <c r="G33" s="520"/>
      <c r="H33" s="520"/>
      <c r="I33" s="520"/>
      <c r="J33" s="161">
        <f>SUM(J3:J32)</f>
        <v>34397</v>
      </c>
      <c r="K33" s="520"/>
      <c r="L33" s="520"/>
      <c r="M33" s="64">
        <f>SUM(M3:M32)</f>
        <v>33435.9</v>
      </c>
      <c r="N33" s="73">
        <f>SUM(N3:N32)</f>
        <v>33434.300000000003</v>
      </c>
      <c r="O33" s="68"/>
    </row>
    <row r="34" spans="1:15" ht="26.15" customHeight="1">
      <c r="A34" s="531" t="s">
        <v>56</v>
      </c>
      <c r="B34" s="531"/>
      <c r="C34" s="531"/>
      <c r="D34" s="531"/>
      <c r="E34" s="531"/>
      <c r="F34" s="531"/>
      <c r="G34" s="531"/>
      <c r="H34" s="531"/>
      <c r="I34" s="531"/>
      <c r="J34" s="531"/>
      <c r="N34" s="12">
        <v>1900</v>
      </c>
    </row>
    <row r="35" spans="1:15" ht="26.15" customHeight="1">
      <c r="D35" s="10"/>
      <c r="E35" s="501" t="s">
        <v>57</v>
      </c>
      <c r="F35" s="501"/>
      <c r="G35" s="10"/>
      <c r="H35" s="10"/>
      <c r="I35" s="10"/>
      <c r="J35" s="10"/>
      <c r="N35" s="12">
        <f>24*4</f>
        <v>96</v>
      </c>
    </row>
    <row r="36" spans="1:15" ht="26.15" customHeight="1">
      <c r="D36" s="10"/>
      <c r="E36" s="501" t="s">
        <v>58</v>
      </c>
      <c r="F36" s="501"/>
      <c r="G36" s="10"/>
      <c r="H36" s="10"/>
      <c r="I36" s="10"/>
      <c r="J36" s="10"/>
      <c r="N36" s="12">
        <f>50*2</f>
        <v>100</v>
      </c>
    </row>
    <row r="37" spans="1:15" ht="26.15" customHeight="1">
      <c r="D37" s="10"/>
      <c r="E37" s="501" t="s">
        <v>59</v>
      </c>
      <c r="F37" s="501"/>
      <c r="G37" s="10"/>
      <c r="H37" s="10"/>
      <c r="I37" s="10"/>
      <c r="J37" s="10"/>
      <c r="N37" s="12">
        <v>110</v>
      </c>
    </row>
    <row r="38" spans="1:15" ht="26.15" customHeight="1">
      <c r="D38" s="10"/>
      <c r="E38" s="501" t="s">
        <v>60</v>
      </c>
      <c r="F38" s="501"/>
      <c r="G38" s="10"/>
      <c r="H38" s="10"/>
      <c r="I38" s="10"/>
      <c r="J38" s="10"/>
      <c r="N38" s="12">
        <v>200</v>
      </c>
    </row>
    <row r="39" spans="1:15" ht="26.15" customHeight="1">
      <c r="D39" s="10"/>
      <c r="E39" s="501" t="s">
        <v>61</v>
      </c>
      <c r="F39" s="501"/>
      <c r="G39" s="10"/>
      <c r="H39" s="10"/>
      <c r="I39" s="10"/>
      <c r="J39" s="10"/>
      <c r="N39" s="12">
        <v>470</v>
      </c>
    </row>
    <row r="40" spans="1:15" ht="26.15" customHeight="1">
      <c r="D40" s="10"/>
      <c r="E40" s="501" t="s">
        <v>48</v>
      </c>
      <c r="F40" s="501"/>
      <c r="G40" s="10"/>
      <c r="H40" s="10"/>
      <c r="I40" s="10"/>
      <c r="J40" s="10"/>
      <c r="N40" s="12">
        <v>2000</v>
      </c>
    </row>
    <row r="41" spans="1:15" ht="26.15" customHeight="1">
      <c r="M41" s="12"/>
      <c r="N41" s="8">
        <f>N33-SUM(N34:N40)</f>
        <v>28558.3</v>
      </c>
    </row>
    <row r="42" spans="1:15" ht="26.15" customHeight="1">
      <c r="E42" s="501" t="s">
        <v>62</v>
      </c>
      <c r="F42" s="501"/>
      <c r="N42" s="8">
        <v>37600</v>
      </c>
    </row>
    <row r="43" spans="1:15" ht="26.15" customHeight="1">
      <c r="E43" s="501" t="s">
        <v>63</v>
      </c>
      <c r="F43" s="501"/>
      <c r="N43" s="8">
        <f>N42-N41</f>
        <v>9041.7000000000007</v>
      </c>
    </row>
  </sheetData>
  <mergeCells count="27">
    <mergeCell ref="B1:N1"/>
    <mergeCell ref="A33:B33"/>
    <mergeCell ref="C33:I33"/>
    <mergeCell ref="K33:L33"/>
    <mergeCell ref="A34:J34"/>
    <mergeCell ref="M3:M4"/>
    <mergeCell ref="M5:M6"/>
    <mergeCell ref="M7:M8"/>
    <mergeCell ref="M11:M12"/>
    <mergeCell ref="M31:M32"/>
    <mergeCell ref="N3:N4"/>
    <mergeCell ref="N5:N6"/>
    <mergeCell ref="N7:N8"/>
    <mergeCell ref="N11:N12"/>
    <mergeCell ref="N31:N32"/>
    <mergeCell ref="E40:F40"/>
    <mergeCell ref="E42:F42"/>
    <mergeCell ref="E43:F43"/>
    <mergeCell ref="B5:B6"/>
    <mergeCell ref="B7:B8"/>
    <mergeCell ref="B11:B12"/>
    <mergeCell ref="B31:B32"/>
    <mergeCell ref="E35:F35"/>
    <mergeCell ref="E36:F36"/>
    <mergeCell ref="E37:F37"/>
    <mergeCell ref="E38:F38"/>
    <mergeCell ref="E39:F39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1"/>
  <sheetViews>
    <sheetView workbookViewId="0">
      <pane xSplit="13" ySplit="1" topLeftCell="N29" activePane="bottomRight" state="frozen"/>
      <selection pane="topRight"/>
      <selection pane="bottomLeft"/>
      <selection pane="bottomRight" activeCell="E30" sqref="E30"/>
    </sheetView>
  </sheetViews>
  <sheetFormatPr defaultColWidth="8.6640625" defaultRowHeight="26.15" customHeight="1"/>
  <cols>
    <col min="1" max="1" width="4.75" style="10" customWidth="1"/>
    <col min="2" max="2" width="9.58203125" style="10" customWidth="1"/>
    <col min="3" max="3" width="7.0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6.83203125" style="9" customWidth="1"/>
    <col min="10" max="10" width="12" style="9" customWidth="1"/>
    <col min="11" max="11" width="10.58203125" style="9" customWidth="1"/>
    <col min="12" max="12" width="12.25" style="9" customWidth="1"/>
    <col min="13" max="13" width="11.9140625" style="213" customWidth="1"/>
    <col min="14" max="14" width="12" style="8" customWidth="1"/>
    <col min="15" max="15" width="11.5" style="9" customWidth="1"/>
    <col min="16" max="16384" width="8.6640625" style="9"/>
  </cols>
  <sheetData>
    <row r="1" spans="1:15" ht="40" customHeight="1">
      <c r="A1" s="526" t="s">
        <v>64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158"/>
    </row>
    <row r="2" spans="1:15" s="211" customFormat="1" ht="26.15" customHeight="1">
      <c r="A2" s="214" t="s">
        <v>1</v>
      </c>
      <c r="B2" s="214" t="s">
        <v>2</v>
      </c>
      <c r="C2" s="214" t="s">
        <v>3</v>
      </c>
      <c r="D2" s="215" t="s">
        <v>4</v>
      </c>
      <c r="E2" s="214" t="s">
        <v>5</v>
      </c>
      <c r="F2" s="214" t="s">
        <v>6</v>
      </c>
      <c r="G2" s="214" t="s">
        <v>7</v>
      </c>
      <c r="H2" s="214" t="s">
        <v>8</v>
      </c>
      <c r="I2" s="214" t="s">
        <v>9</v>
      </c>
      <c r="J2" s="214" t="s">
        <v>10</v>
      </c>
      <c r="K2" s="214" t="s">
        <v>11</v>
      </c>
      <c r="L2" s="214" t="s">
        <v>12</v>
      </c>
      <c r="M2" s="214" t="s">
        <v>13</v>
      </c>
      <c r="N2" s="214" t="s">
        <v>14</v>
      </c>
    </row>
    <row r="3" spans="1:15" s="212" customFormat="1" ht="26.15" customHeight="1">
      <c r="A3" s="216">
        <f>ROW()-2</f>
        <v>1</v>
      </c>
      <c r="B3" s="216" t="s">
        <v>15</v>
      </c>
      <c r="C3" s="216" t="s">
        <v>16</v>
      </c>
      <c r="D3" s="217">
        <v>135407</v>
      </c>
      <c r="E3" s="218">
        <v>896</v>
      </c>
      <c r="F3" s="219">
        <f>VLOOKUP(D3,'2025年4月电费'!D:N,2,0)</f>
        <v>862</v>
      </c>
      <c r="G3" s="220">
        <v>60</v>
      </c>
      <c r="H3" s="220">
        <f t="shared" ref="H3:H31" si="0">(E3-F3)*G3</f>
        <v>2040</v>
      </c>
      <c r="I3" s="221">
        <v>1.1000000000000001</v>
      </c>
      <c r="J3" s="221">
        <f>H3*I3</f>
        <v>2244</v>
      </c>
      <c r="K3" s="222"/>
      <c r="L3" s="223"/>
      <c r="M3" s="540">
        <f>J3+J4+K3+K4</f>
        <v>2814.9</v>
      </c>
      <c r="N3" s="534">
        <v>2815</v>
      </c>
    </row>
    <row r="4" spans="1:15" s="212" customFormat="1" ht="26.15" customHeight="1">
      <c r="A4" s="216">
        <f t="shared" ref="A4:A31" si="1">ROW()-2</f>
        <v>2</v>
      </c>
      <c r="B4" s="216" t="s">
        <v>15</v>
      </c>
      <c r="C4" s="216" t="s">
        <v>17</v>
      </c>
      <c r="D4" s="217">
        <v>222933</v>
      </c>
      <c r="E4" s="224">
        <v>7464</v>
      </c>
      <c r="F4" s="219">
        <f>VLOOKUP(D4,'2025年4月电费'!D:N,2,0)</f>
        <v>6945</v>
      </c>
      <c r="G4" s="224">
        <v>1</v>
      </c>
      <c r="H4" s="220">
        <f t="shared" si="0"/>
        <v>519</v>
      </c>
      <c r="I4" s="221">
        <v>1.1000000000000001</v>
      </c>
      <c r="J4" s="221">
        <f>H4*I4</f>
        <v>570.9</v>
      </c>
      <c r="K4" s="222"/>
      <c r="L4" s="223"/>
      <c r="M4" s="540"/>
      <c r="N4" s="534"/>
    </row>
    <row r="5" spans="1:15" s="212" customFormat="1" ht="26.15" customHeight="1">
      <c r="A5" s="537">
        <f t="shared" si="1"/>
        <v>3</v>
      </c>
      <c r="B5" s="539" t="s">
        <v>18</v>
      </c>
      <c r="C5" s="216" t="s">
        <v>16</v>
      </c>
      <c r="D5" s="217">
        <v>135406</v>
      </c>
      <c r="E5" s="224">
        <v>412.6</v>
      </c>
      <c r="F5" s="219">
        <f>VLOOKUP(D5,'2025年4月电费'!D:N,2,0)</f>
        <v>384.8</v>
      </c>
      <c r="G5" s="220">
        <v>40</v>
      </c>
      <c r="H5" s="220">
        <f t="shared" si="0"/>
        <v>1112</v>
      </c>
      <c r="I5" s="221">
        <v>1.1000000000000001</v>
      </c>
      <c r="J5" s="221">
        <f>H5*I5</f>
        <v>1223.2</v>
      </c>
      <c r="K5" s="222"/>
      <c r="L5" s="223"/>
      <c r="M5" s="540">
        <f>J5+J6+K5+K6</f>
        <v>1237.5</v>
      </c>
      <c r="N5" s="535">
        <v>1237</v>
      </c>
      <c r="O5" s="227"/>
    </row>
    <row r="6" spans="1:15" s="212" customFormat="1" ht="26.15" customHeight="1">
      <c r="A6" s="538"/>
      <c r="B6" s="539"/>
      <c r="C6" s="216" t="s">
        <v>17</v>
      </c>
      <c r="D6" s="228" t="s">
        <v>19</v>
      </c>
      <c r="E6" s="224">
        <v>165</v>
      </c>
      <c r="F6" s="219">
        <f>VLOOKUP(D6,'2025年4月电费'!D:N,2,0)</f>
        <v>152</v>
      </c>
      <c r="G6" s="220">
        <v>1</v>
      </c>
      <c r="H6" s="220">
        <f t="shared" si="0"/>
        <v>13</v>
      </c>
      <c r="I6" s="221">
        <v>1.1000000000000001</v>
      </c>
      <c r="J6" s="221">
        <f>H6*I6</f>
        <v>14.3</v>
      </c>
      <c r="K6" s="222"/>
      <c r="L6" s="223"/>
      <c r="M6" s="540"/>
      <c r="N6" s="536"/>
    </row>
    <row r="7" spans="1:15" s="212" customFormat="1" ht="26.15" customHeight="1">
      <c r="A7" s="537">
        <f t="shared" si="1"/>
        <v>5</v>
      </c>
      <c r="B7" s="539" t="s">
        <v>20</v>
      </c>
      <c r="C7" s="216" t="s">
        <v>16</v>
      </c>
      <c r="D7" s="217">
        <v>135400</v>
      </c>
      <c r="E7" s="224">
        <v>11.1</v>
      </c>
      <c r="F7" s="219">
        <f>VLOOKUP(D7,'2025年4月电费'!D:N,2,0)</f>
        <v>10.5</v>
      </c>
      <c r="G7" s="220">
        <v>40</v>
      </c>
      <c r="H7" s="220">
        <f t="shared" si="0"/>
        <v>24</v>
      </c>
      <c r="I7" s="221">
        <v>1.1000000000000001</v>
      </c>
      <c r="J7" s="221">
        <f t="shared" ref="J7:J31" si="2">H7*I7</f>
        <v>26.4</v>
      </c>
      <c r="K7" s="222"/>
      <c r="L7" s="223"/>
      <c r="M7" s="540">
        <f t="shared" ref="M7" si="3">J7+J8+K7+K8</f>
        <v>72.599999999999994</v>
      </c>
      <c r="N7" s="534">
        <v>72</v>
      </c>
    </row>
    <row r="8" spans="1:15" s="212" customFormat="1" ht="26.15" customHeight="1">
      <c r="A8" s="538"/>
      <c r="B8" s="539"/>
      <c r="C8" s="216" t="s">
        <v>17</v>
      </c>
      <c r="D8" s="228" t="s">
        <v>21</v>
      </c>
      <c r="E8" s="220">
        <v>416</v>
      </c>
      <c r="F8" s="219">
        <f>VLOOKUP(D8,'2025年4月电费'!D:N,2,0)</f>
        <v>374</v>
      </c>
      <c r="G8" s="220">
        <v>1</v>
      </c>
      <c r="H8" s="220">
        <f t="shared" si="0"/>
        <v>42</v>
      </c>
      <c r="I8" s="221">
        <v>1.1000000000000001</v>
      </c>
      <c r="J8" s="221">
        <f t="shared" si="2"/>
        <v>46.2</v>
      </c>
      <c r="K8" s="222"/>
      <c r="L8" s="223"/>
      <c r="M8" s="540"/>
      <c r="N8" s="534"/>
    </row>
    <row r="9" spans="1:15" s="212" customFormat="1" ht="26.15" customHeight="1">
      <c r="A9" s="216">
        <f t="shared" si="1"/>
        <v>7</v>
      </c>
      <c r="B9" s="216" t="s">
        <v>22</v>
      </c>
      <c r="C9" s="216" t="s">
        <v>16</v>
      </c>
      <c r="D9" s="217">
        <v>135405</v>
      </c>
      <c r="E9" s="224">
        <v>306.3</v>
      </c>
      <c r="F9" s="219">
        <f>VLOOKUP(D9,'2025年4月电费'!D:N,2,0)</f>
        <v>282.2</v>
      </c>
      <c r="G9" s="220">
        <v>40</v>
      </c>
      <c r="H9" s="220">
        <f t="shared" si="0"/>
        <v>964.00000000000102</v>
      </c>
      <c r="I9" s="221">
        <v>1.1000000000000001</v>
      </c>
      <c r="J9" s="221">
        <f t="shared" si="2"/>
        <v>1060.4000000000001</v>
      </c>
      <c r="K9" s="222"/>
      <c r="L9" s="223"/>
      <c r="M9" s="221">
        <f t="shared" ref="M9:M29" si="4">J9+K9</f>
        <v>1060.4000000000001</v>
      </c>
      <c r="N9" s="229">
        <v>1060.4000000000001</v>
      </c>
    </row>
    <row r="10" spans="1:15" s="212" customFormat="1" ht="26.15" customHeight="1">
      <c r="A10" s="216">
        <f t="shared" si="1"/>
        <v>8</v>
      </c>
      <c r="B10" s="216" t="s">
        <v>23</v>
      </c>
      <c r="C10" s="216" t="s">
        <v>16</v>
      </c>
      <c r="D10" s="217">
        <v>135401</v>
      </c>
      <c r="E10" s="224">
        <v>59.8</v>
      </c>
      <c r="F10" s="219">
        <f>VLOOKUP(D10,'2025年4月电费'!D:N,2,0)</f>
        <v>56.7</v>
      </c>
      <c r="G10" s="220">
        <v>20</v>
      </c>
      <c r="H10" s="220">
        <f t="shared" si="0"/>
        <v>61.999999999999901</v>
      </c>
      <c r="I10" s="221">
        <v>1.1000000000000001</v>
      </c>
      <c r="J10" s="221">
        <f t="shared" si="2"/>
        <v>68.199999999999903</v>
      </c>
      <c r="K10" s="222"/>
      <c r="L10" s="223"/>
      <c r="M10" s="221">
        <f t="shared" si="4"/>
        <v>68.199999999999903</v>
      </c>
      <c r="N10" s="229">
        <v>68.2</v>
      </c>
    </row>
    <row r="11" spans="1:15" s="212" customFormat="1" ht="26.15" customHeight="1">
      <c r="A11" s="537">
        <f t="shared" si="1"/>
        <v>9</v>
      </c>
      <c r="B11" s="539" t="s">
        <v>24</v>
      </c>
      <c r="C11" s="216" t="s">
        <v>25</v>
      </c>
      <c r="D11" s="217">
        <v>135402</v>
      </c>
      <c r="E11" s="224">
        <v>456.6</v>
      </c>
      <c r="F11" s="219">
        <f>VLOOKUP(D11,'2025年4月电费'!D:N,2,0)</f>
        <v>423.9</v>
      </c>
      <c r="G11" s="220">
        <v>20</v>
      </c>
      <c r="H11" s="220">
        <f t="shared" si="0"/>
        <v>654.00000000000102</v>
      </c>
      <c r="I11" s="221">
        <v>1.1000000000000001</v>
      </c>
      <c r="J11" s="221">
        <f t="shared" si="2"/>
        <v>719.400000000001</v>
      </c>
      <c r="K11" s="222">
        <v>-242.5</v>
      </c>
      <c r="L11" s="223" t="s">
        <v>65</v>
      </c>
      <c r="M11" s="540">
        <f>J11+J12+K11+K12</f>
        <v>1255.7</v>
      </c>
      <c r="N11" s="534">
        <v>1255.7</v>
      </c>
    </row>
    <row r="12" spans="1:15" s="212" customFormat="1" ht="26.15" customHeight="1">
      <c r="A12" s="538"/>
      <c r="B12" s="539"/>
      <c r="C12" s="216" t="s">
        <v>26</v>
      </c>
      <c r="D12" s="217">
        <v>135408</v>
      </c>
      <c r="E12" s="224">
        <v>179.4</v>
      </c>
      <c r="F12" s="219">
        <f>VLOOKUP(D12,'2025年4月电费'!D:N,2,0)</f>
        <v>161.69999999999999</v>
      </c>
      <c r="G12" s="220">
        <v>40</v>
      </c>
      <c r="H12" s="220">
        <f t="shared" si="0"/>
        <v>708.00000000000102</v>
      </c>
      <c r="I12" s="221">
        <v>1.1000000000000001</v>
      </c>
      <c r="J12" s="221">
        <f t="shared" si="2"/>
        <v>778.80000000000098</v>
      </c>
      <c r="K12" s="222"/>
      <c r="L12" s="223"/>
      <c r="M12" s="540"/>
      <c r="N12" s="534"/>
    </row>
    <row r="13" spans="1:15" s="212" customFormat="1" ht="26.15" customHeight="1">
      <c r="A13" s="216">
        <f t="shared" si="1"/>
        <v>11</v>
      </c>
      <c r="B13" s="216" t="s">
        <v>27</v>
      </c>
      <c r="C13" s="216" t="s">
        <v>16</v>
      </c>
      <c r="D13" s="217">
        <v>136866</v>
      </c>
      <c r="E13" s="224">
        <v>197.5</v>
      </c>
      <c r="F13" s="219">
        <f>VLOOKUP(D13,'2025年4月电费'!D:N,2,0)</f>
        <v>185.3</v>
      </c>
      <c r="G13" s="220">
        <v>20</v>
      </c>
      <c r="H13" s="220">
        <f t="shared" si="0"/>
        <v>244</v>
      </c>
      <c r="I13" s="221">
        <v>1.1000000000000001</v>
      </c>
      <c r="J13" s="221">
        <f t="shared" si="2"/>
        <v>268.39999999999998</v>
      </c>
      <c r="K13" s="222"/>
      <c r="L13" s="223"/>
      <c r="M13" s="221">
        <f t="shared" si="4"/>
        <v>268.39999999999998</v>
      </c>
      <c r="N13" s="229">
        <v>268.39999999999998</v>
      </c>
    </row>
    <row r="14" spans="1:15" s="212" customFormat="1" ht="26.15" customHeight="1">
      <c r="A14" s="216">
        <f t="shared" si="1"/>
        <v>12</v>
      </c>
      <c r="B14" s="216" t="s">
        <v>28</v>
      </c>
      <c r="C14" s="216" t="s">
        <v>16</v>
      </c>
      <c r="D14" s="230">
        <v>135847</v>
      </c>
      <c r="E14" s="224">
        <v>177.3</v>
      </c>
      <c r="F14" s="219">
        <f>VLOOKUP(D14,'2025年4月电费'!D:N,2,0)</f>
        <v>169.8</v>
      </c>
      <c r="G14" s="220">
        <v>40</v>
      </c>
      <c r="H14" s="220">
        <f t="shared" si="0"/>
        <v>300</v>
      </c>
      <c r="I14" s="221">
        <v>1.1000000000000001</v>
      </c>
      <c r="J14" s="221">
        <f t="shared" si="2"/>
        <v>330</v>
      </c>
      <c r="K14" s="222"/>
      <c r="L14" s="223"/>
      <c r="M14" s="221">
        <f t="shared" si="4"/>
        <v>330</v>
      </c>
      <c r="N14" s="229">
        <v>330</v>
      </c>
    </row>
    <row r="15" spans="1:15" s="212" customFormat="1" ht="26.15" customHeight="1">
      <c r="A15" s="216">
        <f t="shared" si="1"/>
        <v>13</v>
      </c>
      <c r="B15" s="216" t="s">
        <v>29</v>
      </c>
      <c r="C15" s="216" t="s">
        <v>16</v>
      </c>
      <c r="D15" s="217">
        <v>135848</v>
      </c>
      <c r="E15" s="224">
        <v>487.6</v>
      </c>
      <c r="F15" s="219">
        <f>VLOOKUP(D15,'2025年4月电费'!D:N,2,0)</f>
        <v>438</v>
      </c>
      <c r="G15" s="231">
        <v>40</v>
      </c>
      <c r="H15" s="220">
        <f t="shared" si="0"/>
        <v>1984</v>
      </c>
      <c r="I15" s="221">
        <v>1.1000000000000001</v>
      </c>
      <c r="J15" s="221">
        <f t="shared" si="2"/>
        <v>2182.4</v>
      </c>
      <c r="K15" s="222">
        <v>-494</v>
      </c>
      <c r="L15" s="223" t="s">
        <v>65</v>
      </c>
      <c r="M15" s="221">
        <f t="shared" si="4"/>
        <v>1688.4</v>
      </c>
      <c r="N15" s="229">
        <v>1688.4</v>
      </c>
    </row>
    <row r="16" spans="1:15" s="212" customFormat="1" ht="26.15" customHeight="1">
      <c r="A16" s="216">
        <f t="shared" si="1"/>
        <v>14</v>
      </c>
      <c r="B16" s="216" t="s">
        <v>31</v>
      </c>
      <c r="C16" s="216" t="s">
        <v>16</v>
      </c>
      <c r="D16" s="217">
        <v>135846</v>
      </c>
      <c r="E16" s="224">
        <v>485</v>
      </c>
      <c r="F16" s="219">
        <f>VLOOKUP(D16,'2025年4月电费'!D:N,2,0)</f>
        <v>445.9</v>
      </c>
      <c r="G16" s="231">
        <v>40</v>
      </c>
      <c r="H16" s="220">
        <f t="shared" si="0"/>
        <v>1564</v>
      </c>
      <c r="I16" s="221">
        <v>1.1000000000000001</v>
      </c>
      <c r="J16" s="221">
        <f t="shared" si="2"/>
        <v>1720.4</v>
      </c>
      <c r="K16" s="222"/>
      <c r="L16" s="223"/>
      <c r="M16" s="221">
        <f t="shared" si="4"/>
        <v>1720.4</v>
      </c>
      <c r="N16" s="229">
        <v>1720.4</v>
      </c>
    </row>
    <row r="17" spans="1:15" s="212" customFormat="1" ht="26.15" customHeight="1">
      <c r="A17" s="216">
        <f t="shared" si="1"/>
        <v>15</v>
      </c>
      <c r="B17" s="216" t="s">
        <v>32</v>
      </c>
      <c r="C17" s="216" t="s">
        <v>16</v>
      </c>
      <c r="D17" s="217">
        <v>135845</v>
      </c>
      <c r="E17" s="224">
        <v>337.5</v>
      </c>
      <c r="F17" s="219">
        <f>VLOOKUP(D17,'2025年4月电费'!D:N,2,0)</f>
        <v>308.3</v>
      </c>
      <c r="G17" s="231">
        <v>40</v>
      </c>
      <c r="H17" s="220">
        <f t="shared" si="0"/>
        <v>1168</v>
      </c>
      <c r="I17" s="221">
        <v>1.1000000000000001</v>
      </c>
      <c r="J17" s="221">
        <f t="shared" si="2"/>
        <v>1284.8</v>
      </c>
      <c r="K17" s="222"/>
      <c r="L17" s="223"/>
      <c r="M17" s="221">
        <f t="shared" si="4"/>
        <v>1284.8</v>
      </c>
      <c r="N17" s="229">
        <v>1284</v>
      </c>
    </row>
    <row r="18" spans="1:15" s="212" customFormat="1" ht="26.15" customHeight="1">
      <c r="A18" s="216">
        <f t="shared" si="1"/>
        <v>16</v>
      </c>
      <c r="B18" s="216" t="s">
        <v>33</v>
      </c>
      <c r="C18" s="216" t="s">
        <v>16</v>
      </c>
      <c r="D18" s="230">
        <v>135844</v>
      </c>
      <c r="E18" s="224">
        <v>35.200000000000003</v>
      </c>
      <c r="F18" s="219">
        <f>VLOOKUP(D18,'2025年4月电费'!D:N,2,0)</f>
        <v>28</v>
      </c>
      <c r="G18" s="232">
        <v>30</v>
      </c>
      <c r="H18" s="220">
        <f t="shared" si="0"/>
        <v>216</v>
      </c>
      <c r="I18" s="221">
        <v>1.1000000000000001</v>
      </c>
      <c r="J18" s="221">
        <f t="shared" si="2"/>
        <v>237.6</v>
      </c>
      <c r="K18" s="222"/>
      <c r="L18" s="223"/>
      <c r="M18" s="221">
        <f t="shared" si="4"/>
        <v>237.6</v>
      </c>
      <c r="N18" s="229">
        <v>237.6</v>
      </c>
    </row>
    <row r="19" spans="1:15" s="212" customFormat="1" ht="26.15" customHeight="1">
      <c r="A19" s="216">
        <f t="shared" si="1"/>
        <v>17</v>
      </c>
      <c r="B19" s="216" t="s">
        <v>34</v>
      </c>
      <c r="C19" s="216" t="s">
        <v>16</v>
      </c>
      <c r="D19" s="230">
        <v>135844</v>
      </c>
      <c r="E19" s="224">
        <v>36.1</v>
      </c>
      <c r="F19" s="219">
        <f>VLOOKUP(D19,'2025年4月电费'!D:N,2,0)</f>
        <v>28</v>
      </c>
      <c r="G19" s="232">
        <v>30</v>
      </c>
      <c r="H19" s="220">
        <f t="shared" si="0"/>
        <v>243</v>
      </c>
      <c r="I19" s="221">
        <v>1.1000000000000001</v>
      </c>
      <c r="J19" s="221">
        <f t="shared" si="2"/>
        <v>267.3</v>
      </c>
      <c r="K19" s="222"/>
      <c r="L19" s="223"/>
      <c r="M19" s="221">
        <f t="shared" si="4"/>
        <v>267.3</v>
      </c>
      <c r="N19" s="229">
        <v>267</v>
      </c>
    </row>
    <row r="20" spans="1:15" s="212" customFormat="1" ht="26.15" customHeight="1">
      <c r="A20" s="216">
        <f t="shared" si="1"/>
        <v>18</v>
      </c>
      <c r="B20" s="216" t="s">
        <v>35</v>
      </c>
      <c r="C20" s="216" t="s">
        <v>16</v>
      </c>
      <c r="D20" s="230">
        <v>135850</v>
      </c>
      <c r="E20" s="224">
        <v>169.7</v>
      </c>
      <c r="F20" s="219">
        <f>VLOOKUP(D20,'2025年4月电费'!D:N,2,0)</f>
        <v>161.69999999999999</v>
      </c>
      <c r="G20" s="232">
        <v>30</v>
      </c>
      <c r="H20" s="220">
        <f t="shared" si="0"/>
        <v>240</v>
      </c>
      <c r="I20" s="221">
        <v>1.1000000000000001</v>
      </c>
      <c r="J20" s="221">
        <f t="shared" si="2"/>
        <v>264</v>
      </c>
      <c r="K20" s="222"/>
      <c r="L20" s="223"/>
      <c r="M20" s="221">
        <f t="shared" si="4"/>
        <v>264</v>
      </c>
      <c r="N20" s="229">
        <v>264</v>
      </c>
    </row>
    <row r="21" spans="1:15" s="212" customFormat="1" ht="26.15" customHeight="1">
      <c r="A21" s="216">
        <f t="shared" si="1"/>
        <v>19</v>
      </c>
      <c r="B21" s="216" t="s">
        <v>36</v>
      </c>
      <c r="C21" s="216" t="s">
        <v>16</v>
      </c>
      <c r="D21" s="230">
        <v>135358</v>
      </c>
      <c r="E21" s="224">
        <v>167.2</v>
      </c>
      <c r="F21" s="219">
        <f>VLOOKUP(D21,'2025年4月电费'!D:N,2,0)</f>
        <v>153</v>
      </c>
      <c r="G21" s="232">
        <v>40</v>
      </c>
      <c r="H21" s="220">
        <f t="shared" si="0"/>
        <v>568</v>
      </c>
      <c r="I21" s="221">
        <v>1.1000000000000001</v>
      </c>
      <c r="J21" s="221">
        <f t="shared" si="2"/>
        <v>624.79999999999995</v>
      </c>
      <c r="K21" s="222"/>
      <c r="L21" s="223"/>
      <c r="M21" s="221">
        <f t="shared" si="4"/>
        <v>624.79999999999995</v>
      </c>
      <c r="N21" s="229">
        <v>624</v>
      </c>
    </row>
    <row r="22" spans="1:15" s="212" customFormat="1" ht="26.15" customHeight="1">
      <c r="A22" s="216">
        <f t="shared" si="1"/>
        <v>20</v>
      </c>
      <c r="B22" s="216" t="s">
        <v>37</v>
      </c>
      <c r="C22" s="216" t="s">
        <v>16</v>
      </c>
      <c r="D22" s="230">
        <v>135380</v>
      </c>
      <c r="E22" s="224">
        <v>236.4</v>
      </c>
      <c r="F22" s="219">
        <f>VLOOKUP(D22,'2025年4月电费'!D:N,2,0)</f>
        <v>217.7</v>
      </c>
      <c r="G22" s="232">
        <v>40</v>
      </c>
      <c r="H22" s="220">
        <f t="shared" si="0"/>
        <v>748.00000000000102</v>
      </c>
      <c r="I22" s="221">
        <v>1.1000000000000001</v>
      </c>
      <c r="J22" s="221">
        <f t="shared" si="2"/>
        <v>822.80000000000098</v>
      </c>
      <c r="K22" s="222"/>
      <c r="L22" s="223"/>
      <c r="M22" s="221">
        <f t="shared" si="4"/>
        <v>822.80000000000098</v>
      </c>
      <c r="N22" s="229">
        <v>822</v>
      </c>
    </row>
    <row r="23" spans="1:15" s="212" customFormat="1" ht="26.15" customHeight="1">
      <c r="A23" s="216">
        <f t="shared" si="1"/>
        <v>21</v>
      </c>
      <c r="B23" s="216" t="s">
        <v>38</v>
      </c>
      <c r="C23" s="216" t="s">
        <v>16</v>
      </c>
      <c r="D23" s="217">
        <v>135376</v>
      </c>
      <c r="E23" s="224">
        <v>20.2</v>
      </c>
      <c r="F23" s="219">
        <f>VLOOKUP(D23,'2025年4月电费'!D:N,2,0)</f>
        <v>16.7</v>
      </c>
      <c r="G23" s="231">
        <v>40</v>
      </c>
      <c r="H23" s="220">
        <f t="shared" si="0"/>
        <v>140</v>
      </c>
      <c r="I23" s="221">
        <v>1.1000000000000001</v>
      </c>
      <c r="J23" s="221">
        <f t="shared" si="2"/>
        <v>154</v>
      </c>
      <c r="K23" s="222"/>
      <c r="L23" s="223"/>
      <c r="M23" s="221">
        <f t="shared" si="4"/>
        <v>154</v>
      </c>
      <c r="N23" s="229">
        <v>154</v>
      </c>
    </row>
    <row r="24" spans="1:15" s="212" customFormat="1" ht="26.15" customHeight="1">
      <c r="A24" s="216">
        <f t="shared" si="1"/>
        <v>22</v>
      </c>
      <c r="B24" s="216" t="s">
        <v>39</v>
      </c>
      <c r="C24" s="216" t="s">
        <v>16</v>
      </c>
      <c r="D24" s="228" t="s">
        <v>40</v>
      </c>
      <c r="E24" s="224">
        <v>315</v>
      </c>
      <c r="F24" s="219">
        <f>VLOOKUP(D24,'2025年4月电费'!D:N,2,0)</f>
        <v>262</v>
      </c>
      <c r="G24" s="231">
        <v>1</v>
      </c>
      <c r="H24" s="220">
        <f t="shared" si="0"/>
        <v>53</v>
      </c>
      <c r="I24" s="221">
        <v>1.1000000000000001</v>
      </c>
      <c r="J24" s="221">
        <f t="shared" si="2"/>
        <v>58.3</v>
      </c>
      <c r="K24" s="222"/>
      <c r="L24" s="223"/>
      <c r="M24" s="221">
        <f t="shared" si="4"/>
        <v>58.3</v>
      </c>
      <c r="N24" s="229">
        <v>58.3</v>
      </c>
    </row>
    <row r="25" spans="1:15" s="212" customFormat="1" ht="26.15" customHeight="1">
      <c r="A25" s="216">
        <f t="shared" si="1"/>
        <v>23</v>
      </c>
      <c r="B25" s="216" t="s">
        <v>41</v>
      </c>
      <c r="C25" s="216" t="s">
        <v>16</v>
      </c>
      <c r="D25" s="228" t="s">
        <v>42</v>
      </c>
      <c r="E25" s="224">
        <v>1123</v>
      </c>
      <c r="F25" s="219">
        <f>VLOOKUP(D25,'2025年4月电费'!D:N,2,0)</f>
        <v>860</v>
      </c>
      <c r="G25" s="231">
        <v>1</v>
      </c>
      <c r="H25" s="220">
        <f t="shared" si="0"/>
        <v>263</v>
      </c>
      <c r="I25" s="221">
        <v>1.1000000000000001</v>
      </c>
      <c r="J25" s="221">
        <f t="shared" si="2"/>
        <v>289.3</v>
      </c>
      <c r="K25" s="222"/>
      <c r="L25" s="223"/>
      <c r="M25" s="221">
        <f t="shared" si="4"/>
        <v>289.3</v>
      </c>
      <c r="N25" s="229">
        <v>289.3</v>
      </c>
    </row>
    <row r="26" spans="1:15" s="212" customFormat="1" ht="26.15" customHeight="1">
      <c r="A26" s="216">
        <f t="shared" si="1"/>
        <v>24</v>
      </c>
      <c r="B26" s="216" t="s">
        <v>43</v>
      </c>
      <c r="C26" s="216" t="s">
        <v>16</v>
      </c>
      <c r="D26" s="217">
        <v>281917</v>
      </c>
      <c r="E26" s="224">
        <v>30.6</v>
      </c>
      <c r="F26" s="219">
        <f>VLOOKUP(D26,'2025年4月电费'!D:N,2,0)</f>
        <v>25.8</v>
      </c>
      <c r="G26" s="231">
        <v>100</v>
      </c>
      <c r="H26" s="220">
        <f t="shared" si="0"/>
        <v>480</v>
      </c>
      <c r="I26" s="221">
        <v>1.1000000000000001</v>
      </c>
      <c r="J26" s="221">
        <f t="shared" si="2"/>
        <v>528</v>
      </c>
      <c r="K26" s="222"/>
      <c r="L26" s="223"/>
      <c r="M26" s="221">
        <f t="shared" si="4"/>
        <v>528</v>
      </c>
      <c r="N26" s="229">
        <v>528</v>
      </c>
    </row>
    <row r="27" spans="1:15" s="212" customFormat="1" ht="26.15" customHeight="1">
      <c r="A27" s="216">
        <f t="shared" si="1"/>
        <v>25</v>
      </c>
      <c r="B27" s="216" t="s">
        <v>44</v>
      </c>
      <c r="C27" s="216" t="s">
        <v>16</v>
      </c>
      <c r="D27" s="217">
        <v>136865</v>
      </c>
      <c r="E27" s="224">
        <v>243.6</v>
      </c>
      <c r="F27" s="219">
        <f>VLOOKUP(D27,'2025年4月电费'!D:N,2,0)</f>
        <v>214.5</v>
      </c>
      <c r="G27" s="231">
        <v>20</v>
      </c>
      <c r="H27" s="220">
        <f t="shared" si="0"/>
        <v>582</v>
      </c>
      <c r="I27" s="221">
        <v>1.1000000000000001</v>
      </c>
      <c r="J27" s="221">
        <f t="shared" si="2"/>
        <v>640.20000000000005</v>
      </c>
      <c r="K27" s="222"/>
      <c r="L27" s="223"/>
      <c r="M27" s="229">
        <f t="shared" si="4"/>
        <v>640.20000000000005</v>
      </c>
      <c r="N27" s="229">
        <v>640.20000000000005</v>
      </c>
    </row>
    <row r="28" spans="1:15" ht="26.15" customHeight="1">
      <c r="A28" s="216">
        <f t="shared" si="1"/>
        <v>26</v>
      </c>
      <c r="B28" s="216" t="s">
        <v>46</v>
      </c>
      <c r="C28" s="216" t="s">
        <v>16</v>
      </c>
      <c r="D28" s="217">
        <v>121780</v>
      </c>
      <c r="E28" s="224">
        <v>35.799999999999997</v>
      </c>
      <c r="F28" s="219">
        <f>VLOOKUP(D28,'2025年4月电费'!D:N,2,0)</f>
        <v>29</v>
      </c>
      <c r="G28" s="231">
        <v>20</v>
      </c>
      <c r="H28" s="220">
        <f t="shared" si="0"/>
        <v>136</v>
      </c>
      <c r="I28" s="221">
        <v>1.1000000000000001</v>
      </c>
      <c r="J28" s="221">
        <f t="shared" si="2"/>
        <v>149.6</v>
      </c>
      <c r="K28" s="222"/>
      <c r="L28" s="223"/>
      <c r="M28" s="221">
        <f t="shared" si="4"/>
        <v>149.6</v>
      </c>
      <c r="N28" s="229">
        <v>150</v>
      </c>
    </row>
    <row r="29" spans="1:15" s="212" customFormat="1" ht="26.15" customHeight="1">
      <c r="A29" s="216">
        <f t="shared" si="1"/>
        <v>27</v>
      </c>
      <c r="B29" s="216" t="s">
        <v>47</v>
      </c>
      <c r="C29" s="216" t="s">
        <v>16</v>
      </c>
      <c r="D29" s="217">
        <v>135940</v>
      </c>
      <c r="E29" s="224">
        <v>29.7</v>
      </c>
      <c r="F29" s="219">
        <f>VLOOKUP(D29,'2025年4月电费'!D:N,2,0)</f>
        <v>24.7</v>
      </c>
      <c r="G29" s="231">
        <v>30</v>
      </c>
      <c r="H29" s="220">
        <f t="shared" si="0"/>
        <v>150</v>
      </c>
      <c r="I29" s="221">
        <v>1.1000000000000001</v>
      </c>
      <c r="J29" s="221">
        <f t="shared" si="2"/>
        <v>165</v>
      </c>
      <c r="K29" s="222"/>
      <c r="L29" s="223"/>
      <c r="M29" s="221">
        <f t="shared" si="4"/>
        <v>165</v>
      </c>
      <c r="N29" s="229">
        <v>165</v>
      </c>
    </row>
    <row r="30" spans="1:15" ht="26.15" customHeight="1">
      <c r="A30" s="59">
        <f t="shared" si="1"/>
        <v>28</v>
      </c>
      <c r="B30" s="59" t="s">
        <v>48</v>
      </c>
      <c r="C30" s="59" t="s">
        <v>16</v>
      </c>
      <c r="D30" s="85">
        <v>121780</v>
      </c>
      <c r="E30" s="63">
        <v>2097.6</v>
      </c>
      <c r="F30" s="63">
        <f>1625.82+270.73</f>
        <v>1896.55</v>
      </c>
      <c r="G30" s="63">
        <v>30</v>
      </c>
      <c r="H30" s="63">
        <f t="shared" si="0"/>
        <v>6031.5</v>
      </c>
      <c r="I30" s="64">
        <v>1.1000000000000001</v>
      </c>
      <c r="J30" s="64">
        <f t="shared" si="2"/>
        <v>6634.65</v>
      </c>
      <c r="K30" s="64"/>
      <c r="L30" s="66"/>
      <c r="M30" s="64">
        <v>0</v>
      </c>
      <c r="N30" s="73"/>
    </row>
    <row r="31" spans="1:15" s="212" customFormat="1" ht="26.15" customHeight="1">
      <c r="A31" s="216">
        <f t="shared" si="1"/>
        <v>29</v>
      </c>
      <c r="B31" s="225" t="s">
        <v>49</v>
      </c>
      <c r="C31" s="216" t="s">
        <v>16</v>
      </c>
      <c r="D31" s="233">
        <v>134768</v>
      </c>
      <c r="E31" s="220">
        <v>284.8</v>
      </c>
      <c r="F31" s="220">
        <v>152.30000000000001</v>
      </c>
      <c r="G31" s="220">
        <v>80</v>
      </c>
      <c r="H31" s="220">
        <f t="shared" si="0"/>
        <v>10600</v>
      </c>
      <c r="I31" s="221">
        <v>1.1000000000000001</v>
      </c>
      <c r="J31" s="221">
        <f t="shared" si="2"/>
        <v>11660</v>
      </c>
      <c r="K31" s="222"/>
      <c r="L31" s="223"/>
      <c r="M31" s="221">
        <f>J31+K31</f>
        <v>11660</v>
      </c>
      <c r="N31" s="226">
        <v>11660</v>
      </c>
    </row>
    <row r="32" spans="1:15" ht="26.15" customHeight="1">
      <c r="A32" s="530" t="s">
        <v>51</v>
      </c>
      <c r="B32" s="530"/>
      <c r="C32" s="520"/>
      <c r="D32" s="520"/>
      <c r="E32" s="520"/>
      <c r="F32" s="520"/>
      <c r="G32" s="520"/>
      <c r="H32" s="520"/>
      <c r="I32" s="520"/>
      <c r="J32" s="161">
        <f>SUM(J3:J31)</f>
        <v>35033.35</v>
      </c>
      <c r="K32" s="520"/>
      <c r="L32" s="520"/>
      <c r="M32" s="64">
        <f>SUM(M3:M31)</f>
        <v>27662.2</v>
      </c>
      <c r="N32" s="64">
        <f>SUM(N3:N31)</f>
        <v>27658.9</v>
      </c>
      <c r="O32" s="68"/>
    </row>
    <row r="33" spans="1:15" ht="26.15" customHeight="1">
      <c r="A33" s="149"/>
      <c r="B33" s="149"/>
      <c r="C33" s="168"/>
      <c r="D33" s="168"/>
      <c r="E33" s="168"/>
      <c r="F33" s="168"/>
      <c r="G33" s="168"/>
      <c r="H33" s="168"/>
      <c r="I33" s="168"/>
      <c r="J33" s="234"/>
      <c r="K33" s="10"/>
      <c r="L33" s="10"/>
      <c r="M33" s="235"/>
      <c r="N33" s="166"/>
      <c r="O33" s="68"/>
    </row>
    <row r="34" spans="1:15" ht="26.15" customHeight="1">
      <c r="A34" s="531" t="s">
        <v>56</v>
      </c>
      <c r="B34" s="531"/>
      <c r="C34" s="531"/>
      <c r="D34" s="531"/>
      <c r="E34" s="531"/>
      <c r="F34" s="531"/>
      <c r="G34" s="531"/>
      <c r="H34" s="531"/>
      <c r="I34" s="531"/>
      <c r="J34" s="531"/>
      <c r="M34" s="12"/>
      <c r="N34" s="226">
        <v>2160</v>
      </c>
    </row>
    <row r="35" spans="1:15" ht="26.15" customHeight="1">
      <c r="A35" s="501" t="s">
        <v>66</v>
      </c>
      <c r="B35" s="501"/>
      <c r="C35" s="501"/>
      <c r="D35" s="501"/>
      <c r="E35" s="501"/>
      <c r="F35" s="501"/>
      <c r="G35" s="501"/>
      <c r="H35" s="501"/>
      <c r="I35" s="501"/>
      <c r="J35" s="501"/>
      <c r="M35" s="12"/>
      <c r="N35" s="8">
        <v>140</v>
      </c>
    </row>
    <row r="36" spans="1:15" ht="26.15" customHeight="1">
      <c r="A36" s="501" t="s">
        <v>67</v>
      </c>
      <c r="B36" s="501"/>
      <c r="C36" s="501"/>
      <c r="D36" s="501"/>
      <c r="E36" s="501"/>
      <c r="F36" s="501"/>
      <c r="G36" s="501"/>
      <c r="H36" s="501"/>
      <c r="I36" s="501"/>
      <c r="J36" s="501"/>
      <c r="M36" s="12"/>
      <c r="N36" s="8">
        <v>219</v>
      </c>
    </row>
    <row r="37" spans="1:15" ht="26.15" customHeight="1">
      <c r="A37" s="501" t="s">
        <v>68</v>
      </c>
      <c r="B37" s="501"/>
      <c r="C37" s="501"/>
      <c r="D37" s="501"/>
      <c r="E37" s="501"/>
      <c r="F37" s="501"/>
      <c r="G37" s="501"/>
      <c r="H37" s="501"/>
      <c r="I37" s="501"/>
      <c r="J37" s="501"/>
      <c r="M37" s="12"/>
      <c r="N37" s="8">
        <f>21*7.99</f>
        <v>167.79</v>
      </c>
    </row>
    <row r="38" spans="1:15" ht="26.15" customHeight="1">
      <c r="A38" s="501" t="s">
        <v>69</v>
      </c>
      <c r="B38" s="501"/>
      <c r="C38" s="501"/>
      <c r="D38" s="501"/>
      <c r="E38" s="501"/>
      <c r="F38" s="501"/>
      <c r="G38" s="501"/>
      <c r="H38" s="501"/>
      <c r="I38" s="501"/>
      <c r="J38" s="501"/>
      <c r="M38" s="12"/>
      <c r="N38" s="8">
        <v>2740</v>
      </c>
      <c r="O38" s="8"/>
    </row>
    <row r="39" spans="1:15" ht="26.15" customHeight="1">
      <c r="A39" s="501" t="s">
        <v>70</v>
      </c>
      <c r="B39" s="501"/>
      <c r="C39" s="501"/>
      <c r="D39" s="501"/>
      <c r="E39" s="501"/>
      <c r="F39" s="501"/>
      <c r="G39" s="501"/>
      <c r="H39" s="501"/>
      <c r="I39" s="501"/>
      <c r="J39" s="501"/>
      <c r="M39" s="12"/>
      <c r="N39" s="8">
        <v>1000</v>
      </c>
    </row>
    <row r="40" spans="1:15" ht="26.15" customHeight="1">
      <c r="A40" s="501" t="s">
        <v>71</v>
      </c>
      <c r="B40" s="501"/>
      <c r="C40" s="501"/>
      <c r="D40" s="501"/>
      <c r="E40" s="501"/>
      <c r="F40" s="501"/>
      <c r="G40" s="501"/>
      <c r="H40" s="501"/>
      <c r="I40" s="501"/>
      <c r="J40" s="501"/>
      <c r="M40" s="12"/>
      <c r="N40" s="8">
        <v>35622.89</v>
      </c>
    </row>
    <row r="41" spans="1:15" ht="26.15" customHeight="1">
      <c r="A41" s="501" t="s">
        <v>72</v>
      </c>
      <c r="B41" s="501"/>
      <c r="C41" s="501"/>
      <c r="D41" s="501"/>
      <c r="E41" s="501"/>
      <c r="F41" s="501"/>
      <c r="G41" s="501"/>
      <c r="H41" s="501"/>
      <c r="I41" s="501"/>
      <c r="J41" s="501"/>
      <c r="M41" s="12"/>
      <c r="N41" s="8">
        <v>1700</v>
      </c>
    </row>
    <row r="42" spans="1:15" ht="26.15" customHeight="1">
      <c r="A42" s="501" t="s">
        <v>73</v>
      </c>
      <c r="B42" s="501"/>
      <c r="C42" s="501"/>
      <c r="D42" s="501"/>
      <c r="E42" s="501"/>
      <c r="F42" s="501"/>
      <c r="G42" s="501"/>
      <c r="H42" s="501"/>
      <c r="I42" s="501"/>
      <c r="J42" s="501"/>
      <c r="M42" s="12"/>
      <c r="N42" s="8">
        <f>SUM(N34:N41)</f>
        <v>43749.68</v>
      </c>
    </row>
    <row r="43" spans="1:15" ht="26.15" customHeight="1">
      <c r="A43" s="501" t="s">
        <v>74</v>
      </c>
      <c r="B43" s="501"/>
      <c r="C43" s="501"/>
      <c r="D43" s="501"/>
      <c r="E43" s="501"/>
      <c r="F43" s="501"/>
      <c r="G43" s="501"/>
      <c r="H43" s="501"/>
      <c r="I43" s="501"/>
      <c r="J43" s="501"/>
      <c r="M43" s="12"/>
      <c r="N43" s="8">
        <f>N42-N32</f>
        <v>16090.78</v>
      </c>
    </row>
    <row r="44" spans="1:15" ht="26.15" customHeight="1">
      <c r="M44" s="12"/>
    </row>
    <row r="45" spans="1:15" ht="26.15" customHeight="1">
      <c r="M45" s="12"/>
    </row>
    <row r="46" spans="1:15" ht="26.15" customHeight="1">
      <c r="M46" s="12"/>
    </row>
    <row r="47" spans="1:15" ht="26.15" customHeight="1">
      <c r="M47" s="12"/>
    </row>
    <row r="48" spans="1:15" ht="26.15" customHeight="1">
      <c r="M48" s="12"/>
    </row>
    <row r="49" spans="13:13" ht="26.15" customHeight="1">
      <c r="M49" s="12"/>
    </row>
    <row r="50" spans="13:13" ht="26.15" customHeight="1">
      <c r="M50" s="12"/>
    </row>
    <row r="51" spans="13:13" ht="26.15" customHeight="1">
      <c r="M51" s="12"/>
    </row>
    <row r="52" spans="13:13" ht="26.15" customHeight="1">
      <c r="M52" s="12"/>
    </row>
    <row r="53" spans="13:13" ht="26.15" customHeight="1">
      <c r="M53" s="12"/>
    </row>
    <row r="54" spans="13:13" ht="26.15" customHeight="1">
      <c r="M54" s="12"/>
    </row>
    <row r="55" spans="13:13" ht="26.15" customHeight="1">
      <c r="M55" s="12"/>
    </row>
    <row r="56" spans="13:13" ht="26.15" customHeight="1">
      <c r="M56" s="12"/>
    </row>
    <row r="57" spans="13:13" ht="26.15" customHeight="1">
      <c r="M57" s="12"/>
    </row>
    <row r="58" spans="13:13" ht="26.15" customHeight="1">
      <c r="M58" s="12"/>
    </row>
    <row r="59" spans="13:13" ht="26.15" customHeight="1">
      <c r="M59" s="12"/>
    </row>
    <row r="60" spans="13:13" ht="26.15" customHeight="1">
      <c r="M60" s="12"/>
    </row>
    <row r="61" spans="13:13" ht="26.15" customHeight="1">
      <c r="M61" s="12"/>
    </row>
    <row r="62" spans="13:13" ht="26.15" customHeight="1">
      <c r="M62" s="12"/>
    </row>
    <row r="63" spans="13:13" ht="26.15" customHeight="1">
      <c r="M63" s="12"/>
    </row>
    <row r="64" spans="13:13" ht="26.15" customHeight="1">
      <c r="M64" s="12"/>
    </row>
    <row r="65" spans="13:13" ht="26.15" customHeight="1">
      <c r="M65" s="12"/>
    </row>
    <row r="66" spans="13:13" ht="26.15" customHeight="1">
      <c r="M66" s="12"/>
    </row>
    <row r="67" spans="13:13" ht="26.15" customHeight="1">
      <c r="M67" s="12"/>
    </row>
    <row r="68" spans="13:13" ht="26.15" customHeight="1">
      <c r="M68" s="12"/>
    </row>
    <row r="69" spans="13:13" ht="26.15" customHeight="1">
      <c r="M69" s="12"/>
    </row>
    <row r="70" spans="13:13" ht="26.15" customHeight="1">
      <c r="M70" s="12"/>
    </row>
    <row r="71" spans="13:13" ht="26.15" customHeight="1">
      <c r="M71" s="12"/>
    </row>
    <row r="72" spans="13:13" ht="26.15" customHeight="1">
      <c r="M72" s="12"/>
    </row>
    <row r="73" spans="13:13" ht="26.15" customHeight="1">
      <c r="M73" s="12"/>
    </row>
    <row r="74" spans="13:13" ht="26.15" customHeight="1">
      <c r="M74" s="12"/>
    </row>
    <row r="75" spans="13:13" ht="26.15" customHeight="1">
      <c r="M75" s="12"/>
    </row>
    <row r="76" spans="13:13" ht="26.15" customHeight="1">
      <c r="M76" s="12"/>
    </row>
    <row r="77" spans="13:13" ht="26.15" customHeight="1">
      <c r="M77" s="12"/>
    </row>
    <row r="78" spans="13:13" ht="26.15" customHeight="1">
      <c r="M78" s="12"/>
    </row>
    <row r="79" spans="13:13" ht="26.15" customHeight="1">
      <c r="M79" s="12"/>
    </row>
    <row r="80" spans="13:13" ht="26.15" customHeight="1">
      <c r="M80" s="12"/>
    </row>
    <row r="81" spans="13:13" ht="26.15" customHeight="1">
      <c r="M81" s="12"/>
    </row>
  </sheetData>
  <mergeCells count="28">
    <mergeCell ref="A1:M1"/>
    <mergeCell ref="A32:B32"/>
    <mergeCell ref="C32:I32"/>
    <mergeCell ref="K32:L32"/>
    <mergeCell ref="A34:J34"/>
    <mergeCell ref="M3:M4"/>
    <mergeCell ref="M5:M6"/>
    <mergeCell ref="M7:M8"/>
    <mergeCell ref="M11:M12"/>
    <mergeCell ref="A41:J41"/>
    <mergeCell ref="A42:J42"/>
    <mergeCell ref="A43:J43"/>
    <mergeCell ref="A5:A6"/>
    <mergeCell ref="A7:A8"/>
    <mergeCell ref="A11:A12"/>
    <mergeCell ref="B5:B6"/>
    <mergeCell ref="B7:B8"/>
    <mergeCell ref="B11:B12"/>
    <mergeCell ref="A35:J35"/>
    <mergeCell ref="A36:J36"/>
    <mergeCell ref="A37:J37"/>
    <mergeCell ref="A38:J38"/>
    <mergeCell ref="A39:J39"/>
    <mergeCell ref="N3:N4"/>
    <mergeCell ref="N5:N6"/>
    <mergeCell ref="N7:N8"/>
    <mergeCell ref="N11:N12"/>
    <mergeCell ref="A40:J40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workbookViewId="0">
      <selection activeCell="B3" sqref="B3"/>
    </sheetView>
  </sheetViews>
  <sheetFormatPr defaultColWidth="9.08203125" defaultRowHeight="14"/>
  <cols>
    <col min="1" max="1" width="11.4140625" customWidth="1"/>
  </cols>
  <sheetData>
    <row r="1" spans="1:8" ht="15.5">
      <c r="A1" s="77" t="s">
        <v>2</v>
      </c>
      <c r="B1" s="169" t="s">
        <v>75</v>
      </c>
      <c r="C1" s="170" t="s">
        <v>76</v>
      </c>
      <c r="D1" s="77" t="s">
        <v>7</v>
      </c>
      <c r="E1" s="77" t="s">
        <v>77</v>
      </c>
      <c r="F1" s="77" t="s">
        <v>9</v>
      </c>
      <c r="G1" s="77" t="s">
        <v>78</v>
      </c>
      <c r="H1" s="77" t="s">
        <v>79</v>
      </c>
    </row>
    <row r="2" spans="1:8" ht="15.5">
      <c r="A2" s="77" t="s">
        <v>80</v>
      </c>
      <c r="B2" s="170">
        <v>6110</v>
      </c>
      <c r="C2" s="169">
        <v>6110</v>
      </c>
      <c r="D2" s="77">
        <v>1</v>
      </c>
      <c r="E2" s="77">
        <f>(B2-C2)*D2</f>
        <v>0</v>
      </c>
      <c r="F2" s="77">
        <v>1.1000000000000001</v>
      </c>
      <c r="G2" s="77">
        <f>ROUNDUP((E2*F2),0)</f>
        <v>0</v>
      </c>
      <c r="H2" s="77">
        <v>763170</v>
      </c>
    </row>
    <row r="3" spans="1:8" ht="15.5">
      <c r="A3" s="77" t="s">
        <v>81</v>
      </c>
      <c r="B3" s="170">
        <v>4022</v>
      </c>
      <c r="C3" s="169">
        <v>4022</v>
      </c>
      <c r="D3" s="77">
        <v>1</v>
      </c>
      <c r="E3" s="77">
        <f t="shared" ref="E3:E20" si="0">(B3-C3)*D3</f>
        <v>0</v>
      </c>
      <c r="F3" s="77">
        <v>1.1000000000000001</v>
      </c>
      <c r="G3" s="77">
        <f t="shared" ref="G3:G15" si="1">ROUNDUP((E3*F3),0)</f>
        <v>0</v>
      </c>
      <c r="H3" s="77">
        <v>272501</v>
      </c>
    </row>
    <row r="4" spans="1:8" ht="15.5">
      <c r="A4" s="77" t="s">
        <v>15</v>
      </c>
      <c r="B4" s="170">
        <v>803.8</v>
      </c>
      <c r="C4" s="169">
        <v>713.8</v>
      </c>
      <c r="D4" s="77">
        <v>60</v>
      </c>
      <c r="E4" s="77">
        <f t="shared" si="0"/>
        <v>5400</v>
      </c>
      <c r="F4" s="77">
        <v>1.1000000000000001</v>
      </c>
      <c r="G4" s="77">
        <f t="shared" si="1"/>
        <v>5940</v>
      </c>
      <c r="H4" s="77">
        <v>135407</v>
      </c>
    </row>
    <row r="5" spans="1:8" ht="15.5">
      <c r="A5" s="77" t="s">
        <v>82</v>
      </c>
      <c r="B5" s="170">
        <v>6333</v>
      </c>
      <c r="C5" s="169">
        <v>5457</v>
      </c>
      <c r="D5" s="77">
        <v>1</v>
      </c>
      <c r="E5" s="77">
        <f t="shared" si="0"/>
        <v>876</v>
      </c>
      <c r="F5" s="77">
        <v>1.1000000000000001</v>
      </c>
      <c r="G5" s="77">
        <f t="shared" si="1"/>
        <v>964</v>
      </c>
      <c r="H5" s="77">
        <v>222933</v>
      </c>
    </row>
    <row r="6" spans="1:8" ht="15.5">
      <c r="A6" s="77" t="s">
        <v>83</v>
      </c>
      <c r="B6" s="170">
        <v>352.9</v>
      </c>
      <c r="C6" s="169">
        <v>303.8</v>
      </c>
      <c r="D6" s="77">
        <v>40</v>
      </c>
      <c r="E6" s="77">
        <f t="shared" si="0"/>
        <v>1964</v>
      </c>
      <c r="F6" s="77">
        <v>1.1000000000000001</v>
      </c>
      <c r="G6" s="77">
        <f t="shared" si="1"/>
        <v>2161</v>
      </c>
      <c r="H6" s="77">
        <v>135406</v>
      </c>
    </row>
    <row r="7" spans="1:8" ht="15.5">
      <c r="A7" s="541" t="s">
        <v>84</v>
      </c>
      <c r="B7" s="170">
        <v>118</v>
      </c>
      <c r="C7" s="169">
        <v>39</v>
      </c>
      <c r="D7" s="77">
        <v>1</v>
      </c>
      <c r="E7" s="77">
        <f t="shared" si="0"/>
        <v>79</v>
      </c>
      <c r="F7" s="77">
        <v>1.1000000000000001</v>
      </c>
      <c r="G7" s="77">
        <f t="shared" si="1"/>
        <v>87</v>
      </c>
      <c r="H7" s="77" t="s">
        <v>85</v>
      </c>
    </row>
    <row r="8" spans="1:8">
      <c r="A8" s="542"/>
      <c r="B8" s="171" t="s">
        <v>86</v>
      </c>
      <c r="C8" s="172"/>
      <c r="D8" s="172"/>
      <c r="E8" s="172"/>
      <c r="F8" s="172"/>
      <c r="G8" s="172"/>
      <c r="H8" s="173"/>
    </row>
    <row r="9" spans="1:8" ht="15.5">
      <c r="A9" s="77" t="s">
        <v>20</v>
      </c>
      <c r="B9" s="170">
        <v>10</v>
      </c>
      <c r="C9" s="169">
        <v>9</v>
      </c>
      <c r="D9" s="77">
        <v>40</v>
      </c>
      <c r="E9" s="77">
        <f t="shared" si="0"/>
        <v>40</v>
      </c>
      <c r="F9" s="77">
        <v>1.1000000000000001</v>
      </c>
      <c r="G9" s="77">
        <f t="shared" si="1"/>
        <v>44</v>
      </c>
      <c r="H9" s="77">
        <v>135400</v>
      </c>
    </row>
    <row r="10" spans="1:8" ht="15.5">
      <c r="A10" s="77" t="s">
        <v>87</v>
      </c>
      <c r="B10" s="170">
        <v>323</v>
      </c>
      <c r="C10" s="169">
        <v>261</v>
      </c>
      <c r="D10" s="77">
        <v>1</v>
      </c>
      <c r="E10" s="77">
        <f t="shared" si="0"/>
        <v>62</v>
      </c>
      <c r="F10" s="77">
        <v>1.1000000000000001</v>
      </c>
      <c r="G10" s="77">
        <f t="shared" si="1"/>
        <v>69</v>
      </c>
      <c r="H10" s="77" t="s">
        <v>85</v>
      </c>
    </row>
    <row r="11" spans="1:8" ht="15.5">
      <c r="A11" s="77" t="s">
        <v>22</v>
      </c>
      <c r="B11" s="170">
        <v>253.4</v>
      </c>
      <c r="C11" s="169">
        <v>213.6</v>
      </c>
      <c r="D11" s="77">
        <v>40</v>
      </c>
      <c r="E11" s="77">
        <f t="shared" si="0"/>
        <v>1592</v>
      </c>
      <c r="F11" s="77">
        <v>1.1000000000000001</v>
      </c>
      <c r="G11" s="77">
        <f t="shared" si="1"/>
        <v>1752</v>
      </c>
      <c r="H11" s="77">
        <v>135405</v>
      </c>
    </row>
    <row r="12" spans="1:8" ht="15.5">
      <c r="A12" s="77" t="s">
        <v>23</v>
      </c>
      <c r="B12" s="170">
        <v>50.4</v>
      </c>
      <c r="C12" s="169">
        <v>43.8</v>
      </c>
      <c r="D12" s="77">
        <v>20</v>
      </c>
      <c r="E12" s="77">
        <f t="shared" si="0"/>
        <v>132</v>
      </c>
      <c r="F12" s="77">
        <v>1.1000000000000001</v>
      </c>
      <c r="G12" s="77">
        <f t="shared" si="1"/>
        <v>146</v>
      </c>
      <c r="H12" s="77">
        <v>135401</v>
      </c>
    </row>
    <row r="13" spans="1:8" ht="15.5">
      <c r="A13" s="77" t="s">
        <v>88</v>
      </c>
      <c r="B13" s="170">
        <v>379.5</v>
      </c>
      <c r="C13" s="169">
        <v>320.5</v>
      </c>
      <c r="D13" s="77">
        <v>20</v>
      </c>
      <c r="E13" s="77">
        <f t="shared" si="0"/>
        <v>1180</v>
      </c>
      <c r="F13" s="77">
        <v>1.1000000000000001</v>
      </c>
      <c r="G13" s="77">
        <f t="shared" si="1"/>
        <v>1298</v>
      </c>
      <c r="H13" s="77">
        <v>135402</v>
      </c>
    </row>
    <row r="14" spans="1:8" ht="15.5">
      <c r="A14" s="77" t="s">
        <v>89</v>
      </c>
      <c r="B14" s="170">
        <v>144.19999999999999</v>
      </c>
      <c r="C14" s="169">
        <v>121.5</v>
      </c>
      <c r="D14" s="77">
        <v>40</v>
      </c>
      <c r="E14" s="77">
        <f t="shared" si="0"/>
        <v>908</v>
      </c>
      <c r="F14" s="77">
        <v>1.1000000000000001</v>
      </c>
      <c r="G14" s="77">
        <f t="shared" si="1"/>
        <v>999</v>
      </c>
      <c r="H14" s="77">
        <v>135408</v>
      </c>
    </row>
    <row r="15" spans="1:8" ht="15.5">
      <c r="A15" s="77" t="s">
        <v>90</v>
      </c>
      <c r="B15" s="170">
        <v>172.8</v>
      </c>
      <c r="C15" s="169">
        <v>157</v>
      </c>
      <c r="D15" s="77">
        <v>20</v>
      </c>
      <c r="E15" s="77">
        <f t="shared" si="0"/>
        <v>316</v>
      </c>
      <c r="F15" s="77">
        <v>1.1000000000000001</v>
      </c>
      <c r="G15" s="77">
        <f t="shared" si="1"/>
        <v>348</v>
      </c>
      <c r="H15" s="77">
        <v>136866</v>
      </c>
    </row>
    <row r="16" spans="1:8" ht="15.5">
      <c r="A16" s="174" t="s">
        <v>91</v>
      </c>
      <c r="B16" s="175">
        <v>1510</v>
      </c>
      <c r="C16" s="176">
        <v>1049</v>
      </c>
      <c r="D16" s="177">
        <v>1</v>
      </c>
      <c r="E16" s="174">
        <f t="shared" si="0"/>
        <v>461</v>
      </c>
      <c r="F16" s="174"/>
      <c r="G16" s="174"/>
      <c r="H16" s="174" t="s">
        <v>85</v>
      </c>
    </row>
    <row r="17" spans="1:8" ht="15.5">
      <c r="A17" s="174" t="s">
        <v>92</v>
      </c>
      <c r="B17" s="175">
        <v>2113</v>
      </c>
      <c r="C17" s="176">
        <v>1630</v>
      </c>
      <c r="D17" s="177">
        <v>1</v>
      </c>
      <c r="E17" s="174">
        <f t="shared" si="0"/>
        <v>483</v>
      </c>
      <c r="F17" s="174"/>
      <c r="G17" s="174"/>
      <c r="H17" s="174" t="s">
        <v>85</v>
      </c>
    </row>
    <row r="18" spans="1:8" ht="15.5">
      <c r="A18" s="174" t="s">
        <v>93</v>
      </c>
      <c r="B18" s="175">
        <v>3810</v>
      </c>
      <c r="C18" s="176">
        <v>2900</v>
      </c>
      <c r="D18" s="177">
        <v>1</v>
      </c>
      <c r="E18" s="174">
        <f t="shared" si="0"/>
        <v>910</v>
      </c>
      <c r="F18" s="174"/>
      <c r="G18" s="174"/>
      <c r="H18" s="174" t="s">
        <v>85</v>
      </c>
    </row>
    <row r="19" spans="1:8" ht="15.5">
      <c r="A19" s="174" t="s">
        <v>94</v>
      </c>
      <c r="B19" s="175">
        <v>2532</v>
      </c>
      <c r="C19" s="176">
        <v>1895</v>
      </c>
      <c r="D19" s="177">
        <v>1</v>
      </c>
      <c r="E19" s="174">
        <f t="shared" si="0"/>
        <v>637</v>
      </c>
      <c r="F19" s="174"/>
      <c r="G19" s="174"/>
      <c r="H19" s="174" t="s">
        <v>85</v>
      </c>
    </row>
    <row r="20" spans="1:8" ht="15.5">
      <c r="A20" s="174" t="s">
        <v>95</v>
      </c>
      <c r="B20" s="175">
        <v>1415</v>
      </c>
      <c r="C20" s="176">
        <v>1031</v>
      </c>
      <c r="D20" s="177">
        <v>1</v>
      </c>
      <c r="E20" s="174">
        <f t="shared" si="0"/>
        <v>384</v>
      </c>
      <c r="F20" s="174"/>
      <c r="G20" s="174"/>
      <c r="H20" s="174" t="s">
        <v>85</v>
      </c>
    </row>
    <row r="21" spans="1:8" ht="15.5">
      <c r="A21" s="178" t="s">
        <v>96</v>
      </c>
      <c r="B21" s="179"/>
      <c r="C21" s="180"/>
      <c r="D21" s="181"/>
      <c r="E21" s="178">
        <f>SUM(E2:E15)</f>
        <v>12549</v>
      </c>
      <c r="F21" s="182"/>
      <c r="G21" s="183"/>
      <c r="H21" s="184"/>
    </row>
    <row r="22" spans="1:8" ht="17.5">
      <c r="A22" s="185" t="s">
        <v>97</v>
      </c>
      <c r="B22" s="186">
        <v>338.3</v>
      </c>
      <c r="C22" s="187">
        <v>297.7</v>
      </c>
      <c r="D22" s="188">
        <v>400</v>
      </c>
      <c r="E22" s="185">
        <f>(B22-C22)*D22</f>
        <v>16240</v>
      </c>
      <c r="F22" s="189"/>
      <c r="G22" s="190"/>
      <c r="H22" s="191">
        <v>135404</v>
      </c>
    </row>
    <row r="23" spans="1:8" ht="15.5">
      <c r="A23" s="77" t="s">
        <v>28</v>
      </c>
      <c r="B23" s="170">
        <v>161.19999999999999</v>
      </c>
      <c r="C23" s="169">
        <v>143.9</v>
      </c>
      <c r="D23" s="192">
        <v>40</v>
      </c>
      <c r="E23" s="77">
        <f>(B23-C23)*D23</f>
        <v>691.99999999999898</v>
      </c>
      <c r="F23" s="77">
        <v>1.1000000000000001</v>
      </c>
      <c r="G23" s="77">
        <f>ROUNDUP((E23*F23),0)</f>
        <v>762</v>
      </c>
      <c r="H23" s="192">
        <v>135847</v>
      </c>
    </row>
    <row r="24" spans="1:8" ht="15.5">
      <c r="A24" s="541" t="s">
        <v>29</v>
      </c>
      <c r="B24" s="170">
        <v>375.2</v>
      </c>
      <c r="C24" s="169">
        <v>307.7</v>
      </c>
      <c r="D24" s="77">
        <v>40</v>
      </c>
      <c r="E24" s="77">
        <f t="shared" ref="E24:E37" si="2">(B24-C24)*D24</f>
        <v>2700</v>
      </c>
      <c r="F24" s="77">
        <v>1.1000000000000001</v>
      </c>
      <c r="G24" s="77">
        <f t="shared" ref="G24:G36" si="3">ROUNDUP((E24*F24),0)</f>
        <v>2970</v>
      </c>
      <c r="H24" s="77">
        <v>135848</v>
      </c>
    </row>
    <row r="25" spans="1:8">
      <c r="A25" s="542"/>
      <c r="B25" s="171" t="s">
        <v>98</v>
      </c>
      <c r="C25" s="172"/>
      <c r="D25" s="172"/>
      <c r="E25" s="172"/>
      <c r="F25" s="172"/>
      <c r="G25" s="172"/>
      <c r="H25" s="173"/>
    </row>
    <row r="26" spans="1:8" ht="15.5">
      <c r="A26" s="77" t="s">
        <v>31</v>
      </c>
      <c r="B26" s="170">
        <v>399.5</v>
      </c>
      <c r="C26" s="169">
        <v>344.4</v>
      </c>
      <c r="D26" s="77">
        <v>40</v>
      </c>
      <c r="E26" s="77">
        <f t="shared" si="2"/>
        <v>2204</v>
      </c>
      <c r="F26" s="77">
        <v>1.1000000000000001</v>
      </c>
      <c r="G26" s="77">
        <f t="shared" si="3"/>
        <v>2425</v>
      </c>
      <c r="H26" s="77">
        <v>135846</v>
      </c>
    </row>
    <row r="27" spans="1:8" ht="15.5">
      <c r="A27" s="77" t="s">
        <v>32</v>
      </c>
      <c r="B27" s="170">
        <v>273.5</v>
      </c>
      <c r="C27" s="169">
        <v>224.4</v>
      </c>
      <c r="D27" s="77">
        <v>40</v>
      </c>
      <c r="E27" s="77">
        <f t="shared" si="2"/>
        <v>1964</v>
      </c>
      <c r="F27" s="77">
        <v>1.1000000000000001</v>
      </c>
      <c r="G27" s="77">
        <f t="shared" si="3"/>
        <v>2161</v>
      </c>
      <c r="H27" s="77">
        <v>135845</v>
      </c>
    </row>
    <row r="28" spans="1:8" ht="15.5">
      <c r="A28" s="77" t="s">
        <v>33</v>
      </c>
      <c r="B28" s="170">
        <v>21.6</v>
      </c>
      <c r="C28" s="169">
        <v>16</v>
      </c>
      <c r="D28" s="192">
        <v>30</v>
      </c>
      <c r="E28" s="77">
        <f t="shared" si="2"/>
        <v>168</v>
      </c>
      <c r="F28" s="77">
        <v>1.1000000000000001</v>
      </c>
      <c r="G28" s="77">
        <f t="shared" si="3"/>
        <v>185</v>
      </c>
      <c r="H28" s="192">
        <v>135844</v>
      </c>
    </row>
    <row r="29" spans="1:8" ht="15.5">
      <c r="A29" s="77" t="s">
        <v>34</v>
      </c>
      <c r="B29" s="170">
        <v>26.8</v>
      </c>
      <c r="C29" s="169">
        <v>21.8</v>
      </c>
      <c r="D29" s="192">
        <v>30</v>
      </c>
      <c r="E29" s="77">
        <f t="shared" si="2"/>
        <v>150</v>
      </c>
      <c r="F29" s="77">
        <v>1.1000000000000001</v>
      </c>
      <c r="G29" s="77">
        <f t="shared" si="3"/>
        <v>165</v>
      </c>
      <c r="H29" s="192">
        <v>135851</v>
      </c>
    </row>
    <row r="30" spans="1:8" ht="15.5">
      <c r="A30" s="77" t="s">
        <v>35</v>
      </c>
      <c r="B30" s="170">
        <v>150.1</v>
      </c>
      <c r="C30" s="169">
        <v>133</v>
      </c>
      <c r="D30" s="192">
        <v>30</v>
      </c>
      <c r="E30" s="77">
        <f t="shared" si="2"/>
        <v>513</v>
      </c>
      <c r="F30" s="77">
        <v>1.1000000000000001</v>
      </c>
      <c r="G30" s="77">
        <f t="shared" si="3"/>
        <v>565</v>
      </c>
      <c r="H30" s="192">
        <v>135850</v>
      </c>
    </row>
    <row r="31" spans="1:8" ht="15.5">
      <c r="A31" s="77" t="s">
        <v>36</v>
      </c>
      <c r="B31" s="170">
        <v>137.30000000000001</v>
      </c>
      <c r="C31" s="169">
        <v>119.9</v>
      </c>
      <c r="D31" s="192">
        <v>40</v>
      </c>
      <c r="E31" s="77">
        <f t="shared" si="2"/>
        <v>696</v>
      </c>
      <c r="F31" s="77">
        <v>1.1000000000000001</v>
      </c>
      <c r="G31" s="77">
        <f t="shared" si="3"/>
        <v>766</v>
      </c>
      <c r="H31" s="192">
        <v>135358</v>
      </c>
    </row>
    <row r="32" spans="1:8" ht="15.5">
      <c r="A32" s="77" t="s">
        <v>37</v>
      </c>
      <c r="B32" s="170">
        <v>196.7</v>
      </c>
      <c r="C32" s="169">
        <v>167.5</v>
      </c>
      <c r="D32" s="192">
        <v>40</v>
      </c>
      <c r="E32" s="77">
        <f t="shared" si="2"/>
        <v>1168</v>
      </c>
      <c r="F32" s="77">
        <v>1.1000000000000001</v>
      </c>
      <c r="G32" s="77">
        <f t="shared" si="3"/>
        <v>1285</v>
      </c>
      <c r="H32" s="192">
        <v>135380</v>
      </c>
    </row>
    <row r="33" spans="1:8" ht="15.5">
      <c r="A33" s="77" t="s">
        <v>38</v>
      </c>
      <c r="B33" s="170">
        <v>13.1</v>
      </c>
      <c r="C33" s="169">
        <v>10.4</v>
      </c>
      <c r="D33" s="77">
        <v>40</v>
      </c>
      <c r="E33" s="77">
        <f t="shared" si="2"/>
        <v>108</v>
      </c>
      <c r="F33" s="77">
        <v>1.1000000000000001</v>
      </c>
      <c r="G33" s="77">
        <f t="shared" si="3"/>
        <v>119</v>
      </c>
      <c r="H33" s="77">
        <v>135376</v>
      </c>
    </row>
    <row r="34" spans="1:8" ht="15.5">
      <c r="A34" s="77" t="s">
        <v>39</v>
      </c>
      <c r="B34" s="170">
        <v>214</v>
      </c>
      <c r="C34" s="169">
        <v>141</v>
      </c>
      <c r="D34" s="77">
        <v>1</v>
      </c>
      <c r="E34" s="77">
        <f t="shared" si="2"/>
        <v>73</v>
      </c>
      <c r="F34" s="77">
        <v>1.1000000000000001</v>
      </c>
      <c r="G34" s="77">
        <f t="shared" si="3"/>
        <v>81</v>
      </c>
      <c r="H34" s="77" t="s">
        <v>85</v>
      </c>
    </row>
    <row r="35" spans="1:8" ht="15.5">
      <c r="A35" s="77" t="s">
        <v>41</v>
      </c>
      <c r="B35" s="170">
        <v>540</v>
      </c>
      <c r="C35" s="169">
        <v>353</v>
      </c>
      <c r="D35" s="77">
        <v>1</v>
      </c>
      <c r="E35" s="77">
        <f t="shared" si="2"/>
        <v>187</v>
      </c>
      <c r="F35" s="77">
        <v>1.1000000000000001</v>
      </c>
      <c r="G35" s="77">
        <f t="shared" si="3"/>
        <v>206</v>
      </c>
      <c r="H35" s="77" t="s">
        <v>85</v>
      </c>
    </row>
    <row r="36" spans="1:8" ht="15.5">
      <c r="A36" s="77" t="s">
        <v>99</v>
      </c>
      <c r="B36" s="170">
        <v>17.399999999999999</v>
      </c>
      <c r="C36" s="169">
        <v>0.8</v>
      </c>
      <c r="D36" s="77">
        <v>100</v>
      </c>
      <c r="E36" s="77">
        <f t="shared" si="2"/>
        <v>1660</v>
      </c>
      <c r="F36" s="77">
        <v>1.1000000000000001</v>
      </c>
      <c r="G36" s="77">
        <f t="shared" si="3"/>
        <v>1826</v>
      </c>
      <c r="H36" s="77">
        <v>281917</v>
      </c>
    </row>
    <row r="37" spans="1:8" ht="15.5">
      <c r="A37" s="193" t="s">
        <v>100</v>
      </c>
      <c r="B37" s="194">
        <v>120</v>
      </c>
      <c r="C37" s="195">
        <v>79</v>
      </c>
      <c r="D37" s="193">
        <v>1</v>
      </c>
      <c r="E37" s="193">
        <f t="shared" si="2"/>
        <v>41</v>
      </c>
      <c r="F37" s="193"/>
      <c r="G37" s="193"/>
      <c r="H37" s="193" t="s">
        <v>85</v>
      </c>
    </row>
    <row r="38" spans="1:8" ht="15.5">
      <c r="A38" s="178" t="s">
        <v>96</v>
      </c>
      <c r="B38" s="196"/>
      <c r="C38" s="197"/>
      <c r="D38" s="178"/>
      <c r="E38" s="178">
        <f>SUM(E23:E36)</f>
        <v>12283</v>
      </c>
      <c r="F38" s="182"/>
      <c r="G38" s="183"/>
      <c r="H38" s="182"/>
    </row>
    <row r="39" spans="1:8" ht="17.5">
      <c r="A39" s="186" t="s">
        <v>97</v>
      </c>
      <c r="B39" s="186">
        <v>178</v>
      </c>
      <c r="C39" s="198">
        <v>147.4</v>
      </c>
      <c r="D39" s="186">
        <v>400</v>
      </c>
      <c r="E39" s="186">
        <f>(B39-C39)*D39</f>
        <v>12240</v>
      </c>
      <c r="F39" s="199"/>
      <c r="G39" s="200"/>
      <c r="H39" s="77">
        <v>135849</v>
      </c>
    </row>
    <row r="40" spans="1:8" ht="15.5">
      <c r="A40" s="541" t="s">
        <v>44</v>
      </c>
      <c r="B40" s="170">
        <v>164</v>
      </c>
      <c r="C40" s="169">
        <v>120.5</v>
      </c>
      <c r="D40" s="77">
        <v>20</v>
      </c>
      <c r="E40" s="77">
        <f t="shared" ref="E40:E48" si="4">(B40-C40)*D40</f>
        <v>870</v>
      </c>
      <c r="F40" s="77">
        <v>1.1000000000000001</v>
      </c>
      <c r="G40" s="77">
        <f>ROUNDUP((E40*F40),0)</f>
        <v>957</v>
      </c>
      <c r="H40" s="77">
        <v>136865</v>
      </c>
    </row>
    <row r="41" spans="1:8" ht="15.5">
      <c r="A41" s="542"/>
      <c r="B41" s="201" t="s">
        <v>101</v>
      </c>
      <c r="C41" s="202"/>
      <c r="D41" s="202"/>
      <c r="E41" s="202"/>
      <c r="F41" s="202"/>
      <c r="G41" s="202"/>
      <c r="H41" s="203"/>
    </row>
    <row r="42" spans="1:8" ht="15.5">
      <c r="A42" s="77" t="s">
        <v>46</v>
      </c>
      <c r="B42" s="170">
        <v>20.100000000000001</v>
      </c>
      <c r="C42" s="169">
        <v>14.2</v>
      </c>
      <c r="D42" s="77">
        <v>20</v>
      </c>
      <c r="E42" s="77">
        <f t="shared" si="4"/>
        <v>118</v>
      </c>
      <c r="F42" s="77">
        <v>1.1000000000000001</v>
      </c>
      <c r="G42" s="77">
        <f t="shared" ref="G42:G43" si="5">ROUNDUP((E42*F42),0)</f>
        <v>130</v>
      </c>
      <c r="H42" s="77">
        <v>121780</v>
      </c>
    </row>
    <row r="43" spans="1:8" ht="15.5">
      <c r="A43" s="77" t="s">
        <v>47</v>
      </c>
      <c r="B43" s="170">
        <v>16.7</v>
      </c>
      <c r="C43" s="169">
        <v>5.9</v>
      </c>
      <c r="D43" s="77">
        <v>30</v>
      </c>
      <c r="E43" s="77">
        <f t="shared" si="4"/>
        <v>324</v>
      </c>
      <c r="F43" s="77">
        <v>1.1000000000000001</v>
      </c>
      <c r="G43" s="77">
        <f t="shared" si="5"/>
        <v>357</v>
      </c>
      <c r="H43" s="77">
        <v>135940</v>
      </c>
    </row>
    <row r="44" spans="1:8" ht="15.5">
      <c r="A44" s="178" t="s">
        <v>96</v>
      </c>
      <c r="B44" s="196"/>
      <c r="C44" s="204"/>
      <c r="D44" s="204"/>
      <c r="E44" s="178">
        <f>E40+E42+E43</f>
        <v>1312</v>
      </c>
      <c r="F44" s="204"/>
      <c r="G44" s="204"/>
      <c r="H44" s="204"/>
    </row>
    <row r="45" spans="1:8" ht="17.5">
      <c r="A45" s="205" t="s">
        <v>97</v>
      </c>
      <c r="B45" s="186">
        <v>11</v>
      </c>
      <c r="C45" s="206">
        <v>7.8</v>
      </c>
      <c r="D45" s="205">
        <v>400</v>
      </c>
      <c r="E45" s="186">
        <f t="shared" si="4"/>
        <v>1280</v>
      </c>
      <c r="F45" s="207"/>
      <c r="G45" s="77"/>
      <c r="H45" s="208">
        <v>121775</v>
      </c>
    </row>
    <row r="46" spans="1:8" ht="17.5">
      <c r="A46" s="191" t="s">
        <v>48</v>
      </c>
      <c r="B46" s="170"/>
      <c r="C46" s="209"/>
      <c r="D46" s="191"/>
      <c r="E46" s="186"/>
      <c r="F46" s="191"/>
      <c r="G46" s="77"/>
      <c r="H46" s="191">
        <v>135679</v>
      </c>
    </row>
    <row r="47" spans="1:8" ht="15.5">
      <c r="A47" s="210" t="s">
        <v>102</v>
      </c>
      <c r="B47" s="170">
        <v>244</v>
      </c>
      <c r="C47" s="209">
        <v>0</v>
      </c>
      <c r="D47" s="191">
        <v>1</v>
      </c>
      <c r="E47" s="77">
        <f t="shared" si="4"/>
        <v>244</v>
      </c>
      <c r="F47" s="191">
        <v>1.1000000000000001</v>
      </c>
      <c r="G47" s="77">
        <f t="shared" ref="G47:G48" si="6">ROUNDUP((E47*F47),0)</f>
        <v>269</v>
      </c>
      <c r="H47" s="191"/>
    </row>
    <row r="48" spans="1:8" ht="15.5">
      <c r="A48" s="210" t="s">
        <v>103</v>
      </c>
      <c r="B48" s="170">
        <v>6.7</v>
      </c>
      <c r="C48" s="209">
        <v>0</v>
      </c>
      <c r="D48" s="191">
        <v>80</v>
      </c>
      <c r="E48" s="77">
        <f t="shared" si="4"/>
        <v>536</v>
      </c>
      <c r="F48" s="191">
        <v>1.1000000000000001</v>
      </c>
      <c r="G48" s="77">
        <f t="shared" si="6"/>
        <v>590</v>
      </c>
      <c r="H48" s="191">
        <v>134768</v>
      </c>
    </row>
  </sheetData>
  <mergeCells count="3">
    <mergeCell ref="A7:A8"/>
    <mergeCell ref="A24:A25"/>
    <mergeCell ref="A40:A4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2"/>
  <sheetViews>
    <sheetView workbookViewId="0">
      <pane xSplit="17" ySplit="1" topLeftCell="R26" activePane="bottomRight" state="frozen"/>
      <selection pane="topRight"/>
      <selection pane="bottomLeft"/>
      <selection pane="bottomRight" activeCell="E31" sqref="E31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9.33203125" style="9" customWidth="1"/>
    <col min="10" max="10" width="12" style="9" customWidth="1"/>
    <col min="11" max="12" width="13.58203125" style="9" customWidth="1"/>
    <col min="13" max="13" width="9.33203125" style="9" customWidth="1"/>
    <col min="14" max="14" width="10.08203125" style="9" customWidth="1"/>
    <col min="15" max="15" width="7.33203125" style="9" customWidth="1"/>
    <col min="16" max="16" width="5.33203125" style="9" customWidth="1"/>
    <col min="17" max="17" width="11.9140625" style="12" customWidth="1"/>
    <col min="18" max="18" width="12" style="8" customWidth="1"/>
    <col min="19" max="19" width="11.5" style="9" customWidth="1"/>
    <col min="20" max="16384" width="8.6640625" style="9"/>
  </cols>
  <sheetData>
    <row r="1" spans="1:19" ht="40" customHeight="1">
      <c r="A1" s="526" t="s">
        <v>104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158"/>
    </row>
    <row r="2" spans="1:19" s="10" customFormat="1" ht="26.15" customHeight="1">
      <c r="A2" s="159" t="s">
        <v>1</v>
      </c>
      <c r="B2" s="159" t="s">
        <v>2</v>
      </c>
      <c r="C2" s="159" t="s">
        <v>3</v>
      </c>
      <c r="D2" s="160" t="s">
        <v>4</v>
      </c>
      <c r="E2" s="159" t="s">
        <v>5</v>
      </c>
      <c r="F2" s="159" t="s">
        <v>6</v>
      </c>
      <c r="G2" s="159" t="s">
        <v>7</v>
      </c>
      <c r="H2" s="159" t="s">
        <v>8</v>
      </c>
      <c r="I2" s="159" t="s">
        <v>105</v>
      </c>
      <c r="J2" s="159" t="s">
        <v>10</v>
      </c>
      <c r="K2" s="159" t="s">
        <v>106</v>
      </c>
      <c r="L2" s="159" t="s">
        <v>107</v>
      </c>
      <c r="M2" s="159" t="s">
        <v>108</v>
      </c>
      <c r="N2" s="159" t="s">
        <v>109</v>
      </c>
      <c r="O2" s="159" t="s">
        <v>11</v>
      </c>
      <c r="P2" s="159" t="s">
        <v>12</v>
      </c>
      <c r="Q2" s="159" t="s">
        <v>13</v>
      </c>
      <c r="R2" s="159" t="s">
        <v>14</v>
      </c>
    </row>
    <row r="3" spans="1:19" ht="26.15" customHeight="1">
      <c r="A3" s="544">
        <f>ROW()-2</f>
        <v>1</v>
      </c>
      <c r="B3" s="544" t="s">
        <v>15</v>
      </c>
      <c r="C3" s="59" t="s">
        <v>16</v>
      </c>
      <c r="D3" s="60">
        <v>135407</v>
      </c>
      <c r="E3" s="62">
        <v>1008.7</v>
      </c>
      <c r="F3" s="62">
        <v>896</v>
      </c>
      <c r="G3" s="63">
        <v>60</v>
      </c>
      <c r="H3" s="63">
        <f t="shared" ref="H3:H33" si="0">(E3-F3)*G3</f>
        <v>6762</v>
      </c>
      <c r="I3" s="64">
        <v>1.1000000000000001</v>
      </c>
      <c r="J3" s="64">
        <f>H3*I3</f>
        <v>7438.2</v>
      </c>
      <c r="K3" s="167">
        <v>76</v>
      </c>
      <c r="L3" s="167">
        <v>146</v>
      </c>
      <c r="M3" s="64">
        <v>4.4000000000000004</v>
      </c>
      <c r="N3" s="64">
        <f>(L3-K3)*M3</f>
        <v>308</v>
      </c>
      <c r="O3" s="65"/>
      <c r="P3" s="66"/>
      <c r="Q3" s="527">
        <f>J3+J4+O3+O4+N3+N4</f>
        <v>8636.1</v>
      </c>
      <c r="R3" s="524">
        <v>8636</v>
      </c>
    </row>
    <row r="4" spans="1:19" ht="26.15" customHeight="1">
      <c r="A4" s="545"/>
      <c r="B4" s="545"/>
      <c r="C4" s="59" t="s">
        <v>17</v>
      </c>
      <c r="D4" s="60">
        <v>222933</v>
      </c>
      <c r="E4" s="61">
        <v>8021</v>
      </c>
      <c r="F4" s="61">
        <v>7464</v>
      </c>
      <c r="G4" s="61">
        <v>1</v>
      </c>
      <c r="H4" s="63">
        <f t="shared" si="0"/>
        <v>557</v>
      </c>
      <c r="I4" s="64">
        <v>1.1000000000000001</v>
      </c>
      <c r="J4" s="64">
        <f>H4*I4</f>
        <v>612.70000000000005</v>
      </c>
      <c r="K4" s="167">
        <v>119</v>
      </c>
      <c r="L4" s="167">
        <v>182</v>
      </c>
      <c r="M4" s="64">
        <v>4.4000000000000004</v>
      </c>
      <c r="N4" s="64">
        <f t="shared" ref="N4:N33" si="1">(L4-K4)*M4</f>
        <v>277.2</v>
      </c>
      <c r="O4" s="65"/>
      <c r="P4" s="66"/>
      <c r="Q4" s="527"/>
      <c r="R4" s="524"/>
    </row>
    <row r="5" spans="1:19" ht="26.15" customHeight="1">
      <c r="A5" s="544">
        <v>2</v>
      </c>
      <c r="B5" s="520" t="s">
        <v>18</v>
      </c>
      <c r="C5" s="59" t="s">
        <v>16</v>
      </c>
      <c r="D5" s="60">
        <v>135406</v>
      </c>
      <c r="E5" s="61">
        <v>442.1</v>
      </c>
      <c r="F5" s="61">
        <v>412.6</v>
      </c>
      <c r="G5" s="63">
        <v>40</v>
      </c>
      <c r="H5" s="63">
        <f t="shared" si="0"/>
        <v>1180</v>
      </c>
      <c r="I5" s="64">
        <v>1.1000000000000001</v>
      </c>
      <c r="J5" s="64">
        <f>H5*I5</f>
        <v>1298</v>
      </c>
      <c r="K5" s="167">
        <v>94</v>
      </c>
      <c r="L5" s="167">
        <v>164</v>
      </c>
      <c r="M5" s="64">
        <v>4.4000000000000004</v>
      </c>
      <c r="N5" s="64">
        <f t="shared" si="1"/>
        <v>308</v>
      </c>
      <c r="O5" s="65"/>
      <c r="P5" s="66"/>
      <c r="Q5" s="527">
        <f>J5+J6+O5+O6+N5+N6</f>
        <v>1626.9</v>
      </c>
      <c r="R5" s="532">
        <v>1626</v>
      </c>
      <c r="S5" s="68"/>
    </row>
    <row r="6" spans="1:19" ht="26.15" customHeight="1">
      <c r="A6" s="545"/>
      <c r="B6" s="520"/>
      <c r="C6" s="59" t="s">
        <v>17</v>
      </c>
      <c r="D6" s="85" t="s">
        <v>19</v>
      </c>
      <c r="E6" s="61">
        <v>184</v>
      </c>
      <c r="F6" s="61">
        <v>165</v>
      </c>
      <c r="G6" s="63">
        <v>1</v>
      </c>
      <c r="H6" s="63">
        <f t="shared" si="0"/>
        <v>19</v>
      </c>
      <c r="I6" s="64">
        <v>1.1000000000000001</v>
      </c>
      <c r="J6" s="64">
        <f>H6*I6</f>
        <v>20.9</v>
      </c>
      <c r="K6" s="167">
        <v>0</v>
      </c>
      <c r="L6" s="167">
        <v>0</v>
      </c>
      <c r="M6" s="64">
        <v>4.4000000000000004</v>
      </c>
      <c r="N6" s="64">
        <f t="shared" si="1"/>
        <v>0</v>
      </c>
      <c r="O6" s="65"/>
      <c r="P6" s="66"/>
      <c r="Q6" s="527"/>
      <c r="R6" s="533"/>
    </row>
    <row r="7" spans="1:19" ht="26.15" customHeight="1">
      <c r="A7" s="544">
        <v>3</v>
      </c>
      <c r="B7" s="520" t="s">
        <v>20</v>
      </c>
      <c r="C7" s="59" t="s">
        <v>16</v>
      </c>
      <c r="D7" s="60">
        <v>135400</v>
      </c>
      <c r="E7" s="61">
        <v>11.7</v>
      </c>
      <c r="F7" s="61">
        <v>11.1</v>
      </c>
      <c r="G7" s="63">
        <v>40</v>
      </c>
      <c r="H7" s="63">
        <f t="shared" si="0"/>
        <v>24</v>
      </c>
      <c r="I7" s="64">
        <v>1.1000000000000001</v>
      </c>
      <c r="J7" s="64">
        <f t="shared" ref="J7:J29" si="2">H7*I7</f>
        <v>26.4</v>
      </c>
      <c r="K7" s="167">
        <v>44</v>
      </c>
      <c r="L7" s="167">
        <v>55</v>
      </c>
      <c r="M7" s="64">
        <v>4.4000000000000004</v>
      </c>
      <c r="N7" s="64">
        <f t="shared" si="1"/>
        <v>48.4</v>
      </c>
      <c r="O7" s="65"/>
      <c r="P7" s="66"/>
      <c r="Q7" s="527">
        <f>J7+J8+O7+O8+N7+N8</f>
        <v>157.30000000000001</v>
      </c>
      <c r="R7" s="524">
        <v>157.30000000000001</v>
      </c>
    </row>
    <row r="8" spans="1:19" ht="26.15" customHeight="1">
      <c r="A8" s="545"/>
      <c r="B8" s="520"/>
      <c r="C8" s="59" t="s">
        <v>17</v>
      </c>
      <c r="D8" s="85" t="s">
        <v>21</v>
      </c>
      <c r="E8" s="63">
        <v>459</v>
      </c>
      <c r="F8" s="63">
        <v>416</v>
      </c>
      <c r="G8" s="63">
        <v>1</v>
      </c>
      <c r="H8" s="63">
        <f t="shared" si="0"/>
        <v>43</v>
      </c>
      <c r="I8" s="64">
        <v>1.1000000000000001</v>
      </c>
      <c r="J8" s="64">
        <f t="shared" si="2"/>
        <v>47.3</v>
      </c>
      <c r="K8" s="167">
        <v>5</v>
      </c>
      <c r="L8" s="167">
        <v>13</v>
      </c>
      <c r="M8" s="64">
        <v>4.4000000000000004</v>
      </c>
      <c r="N8" s="64">
        <f t="shared" si="1"/>
        <v>35.200000000000003</v>
      </c>
      <c r="O8" s="65"/>
      <c r="P8" s="66"/>
      <c r="Q8" s="527"/>
      <c r="R8" s="524"/>
    </row>
    <row r="9" spans="1:19" ht="26.15" customHeight="1">
      <c r="A9" s="59">
        <v>4</v>
      </c>
      <c r="B9" s="59" t="s">
        <v>22</v>
      </c>
      <c r="C9" s="59" t="s">
        <v>16</v>
      </c>
      <c r="D9" s="60">
        <v>135405</v>
      </c>
      <c r="E9" s="61">
        <v>335.7</v>
      </c>
      <c r="F9" s="61">
        <v>306.3</v>
      </c>
      <c r="G9" s="63">
        <v>40</v>
      </c>
      <c r="H9" s="63">
        <f t="shared" si="0"/>
        <v>1176</v>
      </c>
      <c r="I9" s="64">
        <v>1.1000000000000001</v>
      </c>
      <c r="J9" s="64">
        <f t="shared" si="2"/>
        <v>1293.5999999999999</v>
      </c>
      <c r="K9" s="167">
        <v>92</v>
      </c>
      <c r="L9" s="167">
        <v>155</v>
      </c>
      <c r="M9" s="64">
        <v>4.4000000000000004</v>
      </c>
      <c r="N9" s="64">
        <f t="shared" si="1"/>
        <v>277.2</v>
      </c>
      <c r="O9" s="65"/>
      <c r="P9" s="66"/>
      <c r="Q9" s="64">
        <f>J9+O9+N9</f>
        <v>1570.8</v>
      </c>
      <c r="R9" s="73">
        <v>1293.5999999999999</v>
      </c>
      <c r="S9" s="68">
        <f>Q9-R9</f>
        <v>277.2</v>
      </c>
    </row>
    <row r="10" spans="1:19" ht="26.15" customHeight="1">
      <c r="A10" s="59">
        <v>5</v>
      </c>
      <c r="B10" s="59" t="s">
        <v>23</v>
      </c>
      <c r="C10" s="59" t="s">
        <v>16</v>
      </c>
      <c r="D10" s="60">
        <v>135401</v>
      </c>
      <c r="E10" s="61">
        <v>64</v>
      </c>
      <c r="F10" s="61">
        <v>59.8</v>
      </c>
      <c r="G10" s="63">
        <v>20</v>
      </c>
      <c r="H10" s="63">
        <f t="shared" si="0"/>
        <v>84.000000000000099</v>
      </c>
      <c r="I10" s="64">
        <v>1.1000000000000001</v>
      </c>
      <c r="J10" s="64">
        <f t="shared" si="2"/>
        <v>92.400000000000105</v>
      </c>
      <c r="K10" s="167">
        <v>7</v>
      </c>
      <c r="L10" s="167">
        <v>8</v>
      </c>
      <c r="M10" s="64">
        <v>4.4000000000000004</v>
      </c>
      <c r="N10" s="64">
        <f t="shared" si="1"/>
        <v>4.4000000000000004</v>
      </c>
      <c r="O10" s="65"/>
      <c r="P10" s="66"/>
      <c r="Q10" s="64">
        <f>J10+O10+N10</f>
        <v>96.800000000000097</v>
      </c>
      <c r="R10" s="73">
        <v>92.4</v>
      </c>
    </row>
    <row r="11" spans="1:19" ht="26.15" customHeight="1">
      <c r="A11" s="544">
        <v>6</v>
      </c>
      <c r="B11" s="520" t="s">
        <v>24</v>
      </c>
      <c r="C11" s="59" t="s">
        <v>25</v>
      </c>
      <c r="D11" s="60">
        <v>135402</v>
      </c>
      <c r="E11" s="61">
        <v>502.8</v>
      </c>
      <c r="F11" s="61">
        <v>456.6</v>
      </c>
      <c r="G11" s="63">
        <v>20</v>
      </c>
      <c r="H11" s="63">
        <f t="shared" si="0"/>
        <v>924</v>
      </c>
      <c r="I11" s="64">
        <v>1.1000000000000001</v>
      </c>
      <c r="J11" s="64">
        <f t="shared" si="2"/>
        <v>1016.4</v>
      </c>
      <c r="K11" s="167">
        <v>101</v>
      </c>
      <c r="L11" s="167">
        <v>166</v>
      </c>
      <c r="M11" s="64">
        <v>4.4000000000000004</v>
      </c>
      <c r="N11" s="64">
        <f t="shared" si="1"/>
        <v>286</v>
      </c>
      <c r="O11" s="65"/>
      <c r="P11" s="66"/>
      <c r="Q11" s="527">
        <f>J11+J12+O11+O12+N11+N12</f>
        <v>2283.6</v>
      </c>
      <c r="R11" s="524">
        <v>2283.6</v>
      </c>
    </row>
    <row r="12" spans="1:19" ht="26.15" customHeight="1">
      <c r="A12" s="545"/>
      <c r="B12" s="520"/>
      <c r="C12" s="59" t="s">
        <v>26</v>
      </c>
      <c r="D12" s="60">
        <v>135408</v>
      </c>
      <c r="E12" s="61">
        <v>201.7</v>
      </c>
      <c r="F12" s="61">
        <v>179.4</v>
      </c>
      <c r="G12" s="63">
        <v>40</v>
      </c>
      <c r="H12" s="63">
        <f t="shared" si="0"/>
        <v>891.99999999999898</v>
      </c>
      <c r="I12" s="64">
        <v>1.1000000000000001</v>
      </c>
      <c r="J12" s="64">
        <f t="shared" si="2"/>
        <v>981.19999999999902</v>
      </c>
      <c r="K12" s="167">
        <v>0</v>
      </c>
      <c r="L12" s="167">
        <v>0</v>
      </c>
      <c r="M12" s="64">
        <v>4.4000000000000004</v>
      </c>
      <c r="N12" s="64">
        <f t="shared" si="1"/>
        <v>0</v>
      </c>
      <c r="O12" s="65"/>
      <c r="P12" s="66"/>
      <c r="Q12" s="527"/>
      <c r="R12" s="524"/>
    </row>
    <row r="13" spans="1:19" ht="26.15" customHeight="1">
      <c r="A13" s="59">
        <v>7</v>
      </c>
      <c r="B13" s="59" t="s">
        <v>27</v>
      </c>
      <c r="C13" s="59" t="s">
        <v>16</v>
      </c>
      <c r="D13" s="60">
        <v>136866</v>
      </c>
      <c r="E13" s="61">
        <v>210.1</v>
      </c>
      <c r="F13" s="61">
        <v>197.5</v>
      </c>
      <c r="G13" s="63">
        <v>20</v>
      </c>
      <c r="H13" s="63">
        <f t="shared" si="0"/>
        <v>252</v>
      </c>
      <c r="I13" s="64">
        <v>1.1000000000000001</v>
      </c>
      <c r="J13" s="64">
        <f t="shared" si="2"/>
        <v>277.2</v>
      </c>
      <c r="K13" s="167">
        <v>13</v>
      </c>
      <c r="L13" s="167">
        <v>20</v>
      </c>
      <c r="M13" s="64">
        <v>4.4000000000000004</v>
      </c>
      <c r="N13" s="64">
        <f t="shared" si="1"/>
        <v>30.8</v>
      </c>
      <c r="O13" s="65"/>
      <c r="P13" s="66"/>
      <c r="Q13" s="64">
        <f>J13+O13+N13</f>
        <v>308</v>
      </c>
      <c r="R13" s="73">
        <v>308</v>
      </c>
    </row>
    <row r="14" spans="1:19" ht="26.15" customHeight="1">
      <c r="A14" s="59">
        <v>8</v>
      </c>
      <c r="B14" s="59" t="s">
        <v>28</v>
      </c>
      <c r="C14" s="59" t="s">
        <v>16</v>
      </c>
      <c r="D14" s="72">
        <v>135847</v>
      </c>
      <c r="E14" s="61">
        <v>187.6</v>
      </c>
      <c r="F14" s="61">
        <v>177.3</v>
      </c>
      <c r="G14" s="63">
        <v>40</v>
      </c>
      <c r="H14" s="63">
        <f t="shared" si="0"/>
        <v>411.99999999999898</v>
      </c>
      <c r="I14" s="64">
        <v>1.1000000000000001</v>
      </c>
      <c r="J14" s="64">
        <f t="shared" si="2"/>
        <v>453.19999999999902</v>
      </c>
      <c r="K14" s="167">
        <v>43</v>
      </c>
      <c r="L14" s="167">
        <v>61</v>
      </c>
      <c r="M14" s="64">
        <v>4.4000000000000004</v>
      </c>
      <c r="N14" s="64">
        <f t="shared" si="1"/>
        <v>79.2</v>
      </c>
      <c r="O14" s="65"/>
      <c r="P14" s="66"/>
      <c r="Q14" s="64">
        <f t="shared" ref="Q14:Q29" si="3">J14+O14+N14</f>
        <v>532.39999999999895</v>
      </c>
      <c r="R14" s="73">
        <v>532</v>
      </c>
      <c r="S14" s="74">
        <v>45848</v>
      </c>
    </row>
    <row r="15" spans="1:19" ht="26.15" customHeight="1">
      <c r="A15" s="59">
        <v>9</v>
      </c>
      <c r="B15" s="59" t="s">
        <v>29</v>
      </c>
      <c r="C15" s="59" t="s">
        <v>16</v>
      </c>
      <c r="D15" s="60">
        <v>135848</v>
      </c>
      <c r="E15" s="61">
        <v>545.79999999999995</v>
      </c>
      <c r="F15" s="61">
        <v>487.6</v>
      </c>
      <c r="G15" s="76">
        <v>40</v>
      </c>
      <c r="H15" s="63">
        <f t="shared" si="0"/>
        <v>2328</v>
      </c>
      <c r="I15" s="64">
        <v>1.1000000000000001</v>
      </c>
      <c r="J15" s="64">
        <f t="shared" si="2"/>
        <v>2560.8000000000002</v>
      </c>
      <c r="K15" s="167">
        <v>10</v>
      </c>
      <c r="L15" s="167">
        <v>18</v>
      </c>
      <c r="M15" s="64">
        <v>4.4000000000000004</v>
      </c>
      <c r="N15" s="64">
        <f t="shared" si="1"/>
        <v>35.200000000000003</v>
      </c>
      <c r="O15" s="65"/>
      <c r="P15" s="66"/>
      <c r="Q15" s="64">
        <f t="shared" si="3"/>
        <v>2596</v>
      </c>
      <c r="R15" s="73">
        <v>2596</v>
      </c>
    </row>
    <row r="16" spans="1:19" ht="26.15" customHeight="1">
      <c r="A16" s="59">
        <v>10</v>
      </c>
      <c r="B16" s="59" t="s">
        <v>31</v>
      </c>
      <c r="C16" s="59" t="s">
        <v>16</v>
      </c>
      <c r="D16" s="60">
        <v>135846</v>
      </c>
      <c r="E16" s="61">
        <v>532.6</v>
      </c>
      <c r="F16" s="61">
        <v>485</v>
      </c>
      <c r="G16" s="76">
        <v>40</v>
      </c>
      <c r="H16" s="63">
        <f t="shared" si="0"/>
        <v>1904</v>
      </c>
      <c r="I16" s="64">
        <v>1.1000000000000001</v>
      </c>
      <c r="J16" s="64">
        <f t="shared" si="2"/>
        <v>2094.4</v>
      </c>
      <c r="K16" s="167">
        <v>3</v>
      </c>
      <c r="L16" s="167">
        <v>5</v>
      </c>
      <c r="M16" s="64">
        <v>4.4000000000000004</v>
      </c>
      <c r="N16" s="64">
        <f t="shared" si="1"/>
        <v>8.8000000000000007</v>
      </c>
      <c r="O16" s="65"/>
      <c r="P16" s="66"/>
      <c r="Q16" s="64">
        <f t="shared" si="3"/>
        <v>2103.1999999999998</v>
      </c>
      <c r="R16" s="73">
        <v>2103</v>
      </c>
    </row>
    <row r="17" spans="1:19" ht="26.15" customHeight="1">
      <c r="A17" s="59">
        <v>11</v>
      </c>
      <c r="B17" s="59" t="s">
        <v>32</v>
      </c>
      <c r="C17" s="59" t="s">
        <v>16</v>
      </c>
      <c r="D17" s="60">
        <v>135845</v>
      </c>
      <c r="E17" s="61">
        <v>366.5</v>
      </c>
      <c r="F17" s="61">
        <v>337.5</v>
      </c>
      <c r="G17" s="76">
        <v>40</v>
      </c>
      <c r="H17" s="63">
        <f t="shared" si="0"/>
        <v>1160</v>
      </c>
      <c r="I17" s="64">
        <v>1.1000000000000001</v>
      </c>
      <c r="J17" s="64">
        <f t="shared" si="2"/>
        <v>1276</v>
      </c>
      <c r="K17" s="167">
        <v>80</v>
      </c>
      <c r="L17" s="167">
        <v>155</v>
      </c>
      <c r="M17" s="64">
        <v>4.4000000000000004</v>
      </c>
      <c r="N17" s="64">
        <f t="shared" si="1"/>
        <v>330</v>
      </c>
      <c r="O17" s="65"/>
      <c r="P17" s="66"/>
      <c r="Q17" s="64">
        <f t="shared" si="3"/>
        <v>1606</v>
      </c>
      <c r="R17" s="73">
        <v>1606</v>
      </c>
    </row>
    <row r="18" spans="1:19" ht="26.15" customHeight="1">
      <c r="A18" s="59">
        <v>12</v>
      </c>
      <c r="B18" s="59" t="s">
        <v>33</v>
      </c>
      <c r="C18" s="59" t="s">
        <v>16</v>
      </c>
      <c r="D18" s="72">
        <v>135844</v>
      </c>
      <c r="E18" s="61">
        <v>41.9</v>
      </c>
      <c r="F18" s="61">
        <v>35.200000000000003</v>
      </c>
      <c r="G18" s="80">
        <v>30</v>
      </c>
      <c r="H18" s="63">
        <f t="shared" si="0"/>
        <v>201</v>
      </c>
      <c r="I18" s="64">
        <v>1.1000000000000001</v>
      </c>
      <c r="J18" s="64">
        <f t="shared" si="2"/>
        <v>221.1</v>
      </c>
      <c r="K18" s="167">
        <v>3</v>
      </c>
      <c r="L18" s="167">
        <v>17</v>
      </c>
      <c r="M18" s="64">
        <v>4.4000000000000004</v>
      </c>
      <c r="N18" s="64">
        <f t="shared" si="1"/>
        <v>61.6</v>
      </c>
      <c r="O18" s="65"/>
      <c r="P18" s="66"/>
      <c r="Q18" s="64">
        <f t="shared" si="3"/>
        <v>282.7</v>
      </c>
      <c r="R18" s="73">
        <v>280.27</v>
      </c>
    </row>
    <row r="19" spans="1:19" ht="26.15" customHeight="1">
      <c r="A19" s="59">
        <v>13</v>
      </c>
      <c r="B19" s="59" t="s">
        <v>34</v>
      </c>
      <c r="C19" s="59" t="s">
        <v>16</v>
      </c>
      <c r="D19" s="72">
        <v>135844</v>
      </c>
      <c r="E19" s="61">
        <v>41.2</v>
      </c>
      <c r="F19" s="61">
        <v>36.1</v>
      </c>
      <c r="G19" s="80">
        <v>30</v>
      </c>
      <c r="H19" s="63">
        <f t="shared" si="0"/>
        <v>153</v>
      </c>
      <c r="I19" s="64">
        <v>1.1000000000000001</v>
      </c>
      <c r="J19" s="64">
        <f t="shared" si="2"/>
        <v>168.3</v>
      </c>
      <c r="K19" s="167">
        <v>3</v>
      </c>
      <c r="L19" s="167">
        <v>19</v>
      </c>
      <c r="M19" s="64">
        <v>4.4000000000000004</v>
      </c>
      <c r="N19" s="64">
        <f t="shared" si="1"/>
        <v>70.400000000000006</v>
      </c>
      <c r="O19" s="65"/>
      <c r="P19" s="66"/>
      <c r="Q19" s="64">
        <f t="shared" si="3"/>
        <v>238.7</v>
      </c>
      <c r="R19" s="73">
        <v>238.7</v>
      </c>
      <c r="S19" s="74">
        <v>45848</v>
      </c>
    </row>
    <row r="20" spans="1:19" ht="26.15" customHeight="1">
      <c r="A20" s="59">
        <v>14</v>
      </c>
      <c r="B20" s="59" t="s">
        <v>35</v>
      </c>
      <c r="C20" s="59" t="s">
        <v>16</v>
      </c>
      <c r="D20" s="72">
        <v>135850</v>
      </c>
      <c r="E20" s="61">
        <v>179.1</v>
      </c>
      <c r="F20" s="61">
        <v>169.7</v>
      </c>
      <c r="G20" s="80">
        <v>30</v>
      </c>
      <c r="H20" s="63">
        <f t="shared" si="0"/>
        <v>282</v>
      </c>
      <c r="I20" s="64">
        <v>1.1000000000000001</v>
      </c>
      <c r="J20" s="64">
        <f t="shared" si="2"/>
        <v>310.2</v>
      </c>
      <c r="K20" s="167">
        <v>24</v>
      </c>
      <c r="L20" s="167">
        <v>37</v>
      </c>
      <c r="M20" s="64">
        <v>4.4000000000000004</v>
      </c>
      <c r="N20" s="64">
        <f t="shared" si="1"/>
        <v>57.2</v>
      </c>
      <c r="O20" s="65"/>
      <c r="P20" s="66"/>
      <c r="Q20" s="64">
        <f t="shared" si="3"/>
        <v>367.4</v>
      </c>
      <c r="R20" s="73">
        <v>367</v>
      </c>
      <c r="S20" s="74">
        <v>45848</v>
      </c>
    </row>
    <row r="21" spans="1:19" ht="26.15" customHeight="1">
      <c r="A21" s="59">
        <v>15</v>
      </c>
      <c r="B21" s="59" t="s">
        <v>36</v>
      </c>
      <c r="C21" s="59" t="s">
        <v>16</v>
      </c>
      <c r="D21" s="72">
        <v>135358</v>
      </c>
      <c r="E21" s="61">
        <v>183.5</v>
      </c>
      <c r="F21" s="61">
        <v>167.2</v>
      </c>
      <c r="G21" s="80">
        <v>40</v>
      </c>
      <c r="H21" s="63">
        <f t="shared" si="0"/>
        <v>652</v>
      </c>
      <c r="I21" s="64">
        <v>1.1000000000000001</v>
      </c>
      <c r="J21" s="64">
        <f t="shared" si="2"/>
        <v>717.20000000000095</v>
      </c>
      <c r="K21" s="167">
        <v>53</v>
      </c>
      <c r="L21" s="167">
        <v>105</v>
      </c>
      <c r="M21" s="64">
        <v>4.4000000000000004</v>
      </c>
      <c r="N21" s="64">
        <f t="shared" si="1"/>
        <v>228.8</v>
      </c>
      <c r="O21" s="65"/>
      <c r="P21" s="66"/>
      <c r="Q21" s="64">
        <f t="shared" si="3"/>
        <v>946.00000000000102</v>
      </c>
      <c r="R21" s="73">
        <v>946</v>
      </c>
    </row>
    <row r="22" spans="1:19" ht="26.15" customHeight="1">
      <c r="A22" s="59">
        <v>16</v>
      </c>
      <c r="B22" s="59" t="s">
        <v>37</v>
      </c>
      <c r="C22" s="59" t="s">
        <v>16</v>
      </c>
      <c r="D22" s="72">
        <v>135380</v>
      </c>
      <c r="E22" s="61">
        <v>256.60000000000002</v>
      </c>
      <c r="F22" s="61">
        <v>236.4</v>
      </c>
      <c r="G22" s="80">
        <v>40</v>
      </c>
      <c r="H22" s="63">
        <f t="shared" si="0"/>
        <v>808.00000000000102</v>
      </c>
      <c r="I22" s="64">
        <v>1.1000000000000001</v>
      </c>
      <c r="J22" s="64">
        <f t="shared" si="2"/>
        <v>888.80000000000098</v>
      </c>
      <c r="K22" s="167">
        <v>49</v>
      </c>
      <c r="L22" s="167">
        <v>110</v>
      </c>
      <c r="M22" s="64">
        <v>4.4000000000000004</v>
      </c>
      <c r="N22" s="64">
        <f t="shared" si="1"/>
        <v>268.39999999999998</v>
      </c>
      <c r="O22" s="65"/>
      <c r="P22" s="66"/>
      <c r="Q22" s="64">
        <f t="shared" si="3"/>
        <v>1157.2</v>
      </c>
      <c r="R22" s="73">
        <v>1157</v>
      </c>
    </row>
    <row r="23" spans="1:19" ht="26.15" customHeight="1">
      <c r="A23" s="59">
        <v>17</v>
      </c>
      <c r="B23" s="59" t="s">
        <v>38</v>
      </c>
      <c r="C23" s="59" t="s">
        <v>16</v>
      </c>
      <c r="D23" s="60">
        <v>135376</v>
      </c>
      <c r="E23" s="61">
        <v>24.2</v>
      </c>
      <c r="F23" s="61">
        <v>20.2</v>
      </c>
      <c r="G23" s="76">
        <v>40</v>
      </c>
      <c r="H23" s="63">
        <f t="shared" si="0"/>
        <v>160</v>
      </c>
      <c r="I23" s="64">
        <v>1.1000000000000001</v>
      </c>
      <c r="J23" s="64">
        <f t="shared" si="2"/>
        <v>176</v>
      </c>
      <c r="K23" s="167">
        <v>42</v>
      </c>
      <c r="L23" s="167">
        <v>59</v>
      </c>
      <c r="M23" s="64">
        <v>4.4000000000000004</v>
      </c>
      <c r="N23" s="64">
        <f t="shared" si="1"/>
        <v>74.8</v>
      </c>
      <c r="O23" s="65"/>
      <c r="P23" s="66"/>
      <c r="Q23" s="64">
        <f t="shared" si="3"/>
        <v>250.8</v>
      </c>
      <c r="R23" s="73">
        <f>75+176</f>
        <v>251</v>
      </c>
      <c r="S23" s="74">
        <v>45848</v>
      </c>
    </row>
    <row r="24" spans="1:19" ht="26.15" customHeight="1">
      <c r="A24" s="59">
        <v>18</v>
      </c>
      <c r="B24" s="59" t="s">
        <v>39</v>
      </c>
      <c r="C24" s="59" t="s">
        <v>16</v>
      </c>
      <c r="D24" s="85" t="s">
        <v>40</v>
      </c>
      <c r="E24" s="61">
        <v>367</v>
      </c>
      <c r="F24" s="61">
        <v>315</v>
      </c>
      <c r="G24" s="76">
        <v>1</v>
      </c>
      <c r="H24" s="63">
        <f t="shared" si="0"/>
        <v>52</v>
      </c>
      <c r="I24" s="64">
        <v>1.1000000000000001</v>
      </c>
      <c r="J24" s="64">
        <f t="shared" si="2"/>
        <v>57.2</v>
      </c>
      <c r="K24" s="167">
        <v>5</v>
      </c>
      <c r="L24" s="167">
        <v>9</v>
      </c>
      <c r="M24" s="64">
        <v>4.4000000000000004</v>
      </c>
      <c r="N24" s="64">
        <f t="shared" si="1"/>
        <v>17.600000000000001</v>
      </c>
      <c r="O24" s="65"/>
      <c r="P24" s="66"/>
      <c r="Q24" s="64">
        <f t="shared" si="3"/>
        <v>74.8</v>
      </c>
      <c r="R24" s="73">
        <v>75</v>
      </c>
    </row>
    <row r="25" spans="1:19" ht="26.15" customHeight="1">
      <c r="A25" s="59">
        <v>19</v>
      </c>
      <c r="B25" s="59" t="s">
        <v>41</v>
      </c>
      <c r="C25" s="59" t="s">
        <v>16</v>
      </c>
      <c r="D25" s="85" t="s">
        <v>42</v>
      </c>
      <c r="E25" s="61">
        <v>1491</v>
      </c>
      <c r="F25" s="61">
        <v>1123</v>
      </c>
      <c r="G25" s="76">
        <v>1</v>
      </c>
      <c r="H25" s="63">
        <f t="shared" si="0"/>
        <v>368</v>
      </c>
      <c r="I25" s="64">
        <v>1.1000000000000001</v>
      </c>
      <c r="J25" s="64">
        <f t="shared" si="2"/>
        <v>404.8</v>
      </c>
      <c r="K25" s="167">
        <v>12</v>
      </c>
      <c r="L25" s="167">
        <v>38</v>
      </c>
      <c r="M25" s="64">
        <v>4.4000000000000004</v>
      </c>
      <c r="N25" s="64">
        <f t="shared" si="1"/>
        <v>114.4</v>
      </c>
      <c r="O25" s="65"/>
      <c r="P25" s="66"/>
      <c r="Q25" s="64">
        <f t="shared" si="3"/>
        <v>519.20000000000005</v>
      </c>
      <c r="R25" s="73">
        <v>519.20000000000005</v>
      </c>
    </row>
    <row r="26" spans="1:19" ht="26.15" customHeight="1">
      <c r="A26" s="59">
        <v>20</v>
      </c>
      <c r="B26" s="59" t="s">
        <v>43</v>
      </c>
      <c r="C26" s="59" t="s">
        <v>16</v>
      </c>
      <c r="D26" s="60">
        <v>281917</v>
      </c>
      <c r="E26" s="61">
        <v>42.1</v>
      </c>
      <c r="F26" s="61">
        <v>30.6</v>
      </c>
      <c r="G26" s="76">
        <v>100</v>
      </c>
      <c r="H26" s="63">
        <f t="shared" si="0"/>
        <v>1150</v>
      </c>
      <c r="I26" s="64">
        <v>1.1000000000000001</v>
      </c>
      <c r="J26" s="64">
        <f t="shared" si="2"/>
        <v>1265</v>
      </c>
      <c r="K26" s="167">
        <v>0</v>
      </c>
      <c r="L26" s="167">
        <v>9</v>
      </c>
      <c r="M26" s="64">
        <v>4.4000000000000004</v>
      </c>
      <c r="N26" s="64">
        <f t="shared" si="1"/>
        <v>39.6</v>
      </c>
      <c r="O26" s="65"/>
      <c r="P26" s="66"/>
      <c r="Q26" s="64">
        <f t="shared" si="3"/>
        <v>1304.5999999999999</v>
      </c>
      <c r="R26" s="73">
        <v>1304.5999999999999</v>
      </c>
    </row>
    <row r="27" spans="1:19" ht="26.15" customHeight="1">
      <c r="A27" s="59">
        <v>21</v>
      </c>
      <c r="B27" s="59" t="s">
        <v>44</v>
      </c>
      <c r="C27" s="59" t="s">
        <v>16</v>
      </c>
      <c r="D27" s="60">
        <v>136865</v>
      </c>
      <c r="E27" s="61">
        <v>267.5</v>
      </c>
      <c r="F27" s="61">
        <v>243.6</v>
      </c>
      <c r="G27" s="76">
        <v>20</v>
      </c>
      <c r="H27" s="63">
        <f t="shared" si="0"/>
        <v>478</v>
      </c>
      <c r="I27" s="64">
        <v>1.1000000000000001</v>
      </c>
      <c r="J27" s="64">
        <f t="shared" si="2"/>
        <v>525.79999999999995</v>
      </c>
      <c r="K27" s="167">
        <v>2</v>
      </c>
      <c r="L27" s="167">
        <v>4</v>
      </c>
      <c r="M27" s="64">
        <v>4.4000000000000004</v>
      </c>
      <c r="N27" s="64">
        <f t="shared" si="1"/>
        <v>8.8000000000000007</v>
      </c>
      <c r="O27" s="65"/>
      <c r="P27" s="66"/>
      <c r="Q27" s="64">
        <f t="shared" si="3"/>
        <v>534.6</v>
      </c>
      <c r="R27" s="73">
        <v>534.6</v>
      </c>
    </row>
    <row r="28" spans="1:19" ht="26.15" customHeight="1">
      <c r="A28" s="59">
        <v>22</v>
      </c>
      <c r="B28" s="59" t="s">
        <v>46</v>
      </c>
      <c r="C28" s="59" t="s">
        <v>16</v>
      </c>
      <c r="D28" s="60">
        <v>121780</v>
      </c>
      <c r="E28" s="61">
        <v>45.6</v>
      </c>
      <c r="F28" s="61">
        <v>35.799999999999997</v>
      </c>
      <c r="G28" s="76">
        <v>20</v>
      </c>
      <c r="H28" s="63">
        <f t="shared" si="0"/>
        <v>196</v>
      </c>
      <c r="I28" s="64">
        <v>1.1000000000000001</v>
      </c>
      <c r="J28" s="64">
        <f t="shared" si="2"/>
        <v>215.6</v>
      </c>
      <c r="K28" s="167">
        <v>7</v>
      </c>
      <c r="L28" s="167">
        <v>38</v>
      </c>
      <c r="M28" s="64">
        <v>4.4000000000000004</v>
      </c>
      <c r="N28" s="64">
        <f t="shared" si="1"/>
        <v>136.4</v>
      </c>
      <c r="O28" s="65"/>
      <c r="P28" s="66"/>
      <c r="Q28" s="64">
        <f t="shared" si="3"/>
        <v>352</v>
      </c>
      <c r="R28" s="73">
        <v>352</v>
      </c>
      <c r="S28" s="74">
        <v>45848</v>
      </c>
    </row>
    <row r="29" spans="1:19" ht="26.15" customHeight="1">
      <c r="A29" s="59">
        <v>23</v>
      </c>
      <c r="B29" s="59" t="s">
        <v>47</v>
      </c>
      <c r="C29" s="59" t="s">
        <v>16</v>
      </c>
      <c r="D29" s="60">
        <v>135940</v>
      </c>
      <c r="E29" s="61">
        <v>33.9</v>
      </c>
      <c r="F29" s="61">
        <v>29.7</v>
      </c>
      <c r="G29" s="76">
        <v>30</v>
      </c>
      <c r="H29" s="63">
        <f t="shared" si="0"/>
        <v>126</v>
      </c>
      <c r="I29" s="64">
        <v>1.1000000000000001</v>
      </c>
      <c r="J29" s="64">
        <f t="shared" si="2"/>
        <v>138.6</v>
      </c>
      <c r="K29" s="167">
        <v>0</v>
      </c>
      <c r="L29" s="167">
        <v>3</v>
      </c>
      <c r="M29" s="64">
        <v>4.4000000000000004</v>
      </c>
      <c r="N29" s="64">
        <f t="shared" si="1"/>
        <v>13.2</v>
      </c>
      <c r="O29" s="65"/>
      <c r="P29" s="66"/>
      <c r="Q29" s="64">
        <f t="shared" si="3"/>
        <v>151.80000000000001</v>
      </c>
      <c r="R29" s="73">
        <v>152</v>
      </c>
    </row>
    <row r="30" spans="1:19" ht="26.15" customHeight="1">
      <c r="A30" s="544">
        <v>24</v>
      </c>
      <c r="B30" s="544" t="s">
        <v>48</v>
      </c>
      <c r="C30" s="59" t="s">
        <v>110</v>
      </c>
      <c r="D30" s="60"/>
      <c r="E30" s="61"/>
      <c r="F30" s="61"/>
      <c r="G30" s="76"/>
      <c r="H30" s="63"/>
      <c r="I30" s="64"/>
      <c r="J30" s="64"/>
      <c r="K30" s="167">
        <v>126</v>
      </c>
      <c r="L30" s="167">
        <v>258</v>
      </c>
      <c r="M30" s="64">
        <v>4.4000000000000004</v>
      </c>
      <c r="N30" s="64">
        <f t="shared" si="1"/>
        <v>580.79999999999995</v>
      </c>
      <c r="O30" s="65"/>
      <c r="P30" s="66"/>
      <c r="Q30" s="546">
        <f>J30+O30+J31+N30+N31+O31</f>
        <v>849.2</v>
      </c>
      <c r="R30" s="532">
        <v>850</v>
      </c>
    </row>
    <row r="31" spans="1:19" ht="26.15" customHeight="1">
      <c r="A31" s="545"/>
      <c r="B31" s="545"/>
      <c r="C31" s="59" t="s">
        <v>16</v>
      </c>
      <c r="D31" s="85">
        <v>121780</v>
      </c>
      <c r="E31" s="63">
        <v>2284.3000000000002</v>
      </c>
      <c r="F31" s="63">
        <v>2097.6</v>
      </c>
      <c r="G31" s="63">
        <v>0</v>
      </c>
      <c r="H31" s="63">
        <f>(E31-F31)*G31</f>
        <v>0</v>
      </c>
      <c r="I31" s="64">
        <v>1.1000000000000001</v>
      </c>
      <c r="J31" s="64">
        <f>H31*I31</f>
        <v>0</v>
      </c>
      <c r="K31" s="167">
        <v>12</v>
      </c>
      <c r="L31" s="167">
        <v>73</v>
      </c>
      <c r="M31" s="64">
        <v>4.4000000000000004</v>
      </c>
      <c r="N31" s="64">
        <f t="shared" si="1"/>
        <v>268.39999999999998</v>
      </c>
      <c r="O31" s="64"/>
      <c r="P31" s="66"/>
      <c r="Q31" s="547"/>
      <c r="R31" s="533"/>
    </row>
    <row r="32" spans="1:19" ht="26.15" customHeight="1">
      <c r="A32" s="59">
        <v>25</v>
      </c>
      <c r="B32" s="162" t="s">
        <v>49</v>
      </c>
      <c r="C32" s="59" t="s">
        <v>16</v>
      </c>
      <c r="D32" s="77">
        <v>134768</v>
      </c>
      <c r="E32" s="63">
        <v>389.7</v>
      </c>
      <c r="F32" s="63">
        <v>284.8</v>
      </c>
      <c r="G32" s="63">
        <v>80</v>
      </c>
      <c r="H32" s="63">
        <f t="shared" si="0"/>
        <v>8392</v>
      </c>
      <c r="I32" s="64">
        <v>1.1000000000000001</v>
      </c>
      <c r="J32" s="64">
        <f>H32*I32</f>
        <v>9231.2000000000007</v>
      </c>
      <c r="K32" s="167">
        <v>0</v>
      </c>
      <c r="L32" s="167">
        <v>23</v>
      </c>
      <c r="M32" s="64">
        <v>4.4000000000000004</v>
      </c>
      <c r="N32" s="64">
        <f t="shared" si="1"/>
        <v>101.2</v>
      </c>
      <c r="O32" s="65"/>
      <c r="P32" s="66"/>
      <c r="Q32" s="64">
        <f>J32+O32+N32</f>
        <v>9332.4</v>
      </c>
      <c r="R32" s="164">
        <v>9332.4</v>
      </c>
    </row>
    <row r="33" spans="1:19" ht="26.15" customHeight="1">
      <c r="A33" s="59">
        <v>26</v>
      </c>
      <c r="B33" s="162" t="s">
        <v>111</v>
      </c>
      <c r="C33" s="59" t="s">
        <v>16</v>
      </c>
      <c r="D33" s="77">
        <v>135939</v>
      </c>
      <c r="E33" s="63">
        <v>5.2</v>
      </c>
      <c r="F33" s="63">
        <v>0</v>
      </c>
      <c r="G33" s="63">
        <v>80</v>
      </c>
      <c r="H33" s="63">
        <f t="shared" si="0"/>
        <v>416</v>
      </c>
      <c r="I33" s="64">
        <v>1.1000000000000001</v>
      </c>
      <c r="J33" s="64">
        <f>H33*I33</f>
        <v>457.6</v>
      </c>
      <c r="K33" s="167">
        <v>0</v>
      </c>
      <c r="L33" s="167">
        <v>0</v>
      </c>
      <c r="M33" s="64">
        <v>4.4000000000000004</v>
      </c>
      <c r="N33" s="64">
        <f t="shared" si="1"/>
        <v>0</v>
      </c>
      <c r="O33" s="65"/>
      <c r="P33" s="66"/>
      <c r="Q33" s="64">
        <f>J33+O33+N33</f>
        <v>457.6</v>
      </c>
      <c r="R33" s="164"/>
    </row>
    <row r="34" spans="1:19" ht="26.15" customHeight="1">
      <c r="A34" s="530" t="s">
        <v>51</v>
      </c>
      <c r="B34" s="530"/>
      <c r="C34" s="520"/>
      <c r="D34" s="520"/>
      <c r="E34" s="520"/>
      <c r="F34" s="520"/>
      <c r="G34" s="520"/>
      <c r="H34" s="520"/>
      <c r="I34" s="520"/>
      <c r="J34" s="161">
        <f>SUM(J3:J33)</f>
        <v>34266.1</v>
      </c>
      <c r="K34" s="161"/>
      <c r="L34" s="161"/>
      <c r="M34" s="161"/>
      <c r="N34" s="161">
        <f>SUM(N3:N32)</f>
        <v>4070</v>
      </c>
      <c r="O34" s="520"/>
      <c r="P34" s="520"/>
      <c r="Q34" s="64">
        <f>SUM(Q3:Q33)</f>
        <v>38336.1</v>
      </c>
      <c r="R34" s="64">
        <f>SUM(R3:R33)</f>
        <v>37593.67</v>
      </c>
      <c r="S34" s="68"/>
    </row>
    <row r="35" spans="1:19" ht="26.15" customHeight="1">
      <c r="A35" s="531" t="s">
        <v>112</v>
      </c>
      <c r="B35" s="531"/>
      <c r="R35" s="8">
        <v>1965</v>
      </c>
    </row>
    <row r="36" spans="1:19" ht="26.15" customHeight="1">
      <c r="A36" s="501" t="s">
        <v>66</v>
      </c>
      <c r="B36" s="501"/>
      <c r="J36" s="9">
        <v>29638.49</v>
      </c>
      <c r="R36" s="8">
        <v>105</v>
      </c>
    </row>
    <row r="37" spans="1:19" ht="26.15" customHeight="1">
      <c r="A37" s="501" t="s">
        <v>113</v>
      </c>
      <c r="B37" s="501"/>
      <c r="C37" s="501" t="s">
        <v>114</v>
      </c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501"/>
      <c r="O37" s="501"/>
      <c r="P37" s="501"/>
      <c r="Q37" s="501"/>
      <c r="R37" s="8">
        <v>346.4</v>
      </c>
    </row>
    <row r="38" spans="1:19" ht="26.15" customHeight="1">
      <c r="A38" s="543" t="s">
        <v>71</v>
      </c>
      <c r="B38" s="543"/>
      <c r="R38" s="8">
        <v>25763.78</v>
      </c>
    </row>
    <row r="40" spans="1:19" s="8" customFormat="1" ht="26.15" customHeight="1">
      <c r="A40" s="10"/>
      <c r="B40" s="10"/>
      <c r="C40" s="10"/>
      <c r="D40" s="35"/>
      <c r="E40" s="12"/>
      <c r="F40" s="12"/>
      <c r="G40" s="12"/>
      <c r="H40" s="12"/>
      <c r="I40" s="9"/>
      <c r="J40" s="68">
        <f>J34-J36</f>
        <v>4627.6099999999997</v>
      </c>
      <c r="K40" s="9"/>
      <c r="L40" s="9"/>
      <c r="M40" s="9"/>
      <c r="N40" s="9"/>
      <c r="O40" s="9"/>
      <c r="P40" s="9"/>
      <c r="Q40" s="12"/>
      <c r="R40" s="68">
        <f>R34-SUM(R35:R39)</f>
        <v>9413.49</v>
      </c>
      <c r="S40" s="9"/>
    </row>
    <row r="41" spans="1:19" s="8" customFormat="1" ht="26.15" customHeight="1">
      <c r="A41" s="10"/>
      <c r="B41" s="10"/>
      <c r="C41" s="10"/>
      <c r="D41" s="35"/>
      <c r="E41" s="12"/>
      <c r="F41" s="12"/>
      <c r="G41" s="12"/>
      <c r="H41" s="12"/>
      <c r="I41" s="9"/>
      <c r="J41" s="9"/>
      <c r="K41" s="9"/>
      <c r="L41" s="9"/>
      <c r="M41" s="9"/>
      <c r="N41" s="9"/>
      <c r="O41" s="9"/>
      <c r="P41" s="9"/>
      <c r="Q41" s="12"/>
      <c r="S41" s="9"/>
    </row>
    <row r="42" spans="1:19" s="8" customFormat="1" ht="26.15" customHeight="1">
      <c r="A42" s="10"/>
      <c r="B42" s="10"/>
      <c r="C42" s="10"/>
      <c r="D42" s="35"/>
      <c r="E42" s="12"/>
      <c r="F42" s="12"/>
      <c r="G42" s="12"/>
      <c r="H42" s="12"/>
      <c r="I42" s="9"/>
      <c r="J42" s="9"/>
      <c r="K42" s="9"/>
      <c r="L42" s="9"/>
      <c r="M42" s="9"/>
      <c r="N42" s="9"/>
      <c r="O42" s="9"/>
      <c r="P42" s="9"/>
      <c r="Q42" s="12"/>
      <c r="S42" s="9"/>
    </row>
    <row r="43" spans="1:19" s="8" customFormat="1" ht="26.15" customHeight="1">
      <c r="A43" s="10"/>
      <c r="B43" s="10"/>
      <c r="C43" s="10"/>
      <c r="D43" s="35"/>
      <c r="E43" s="12"/>
      <c r="F43" s="12"/>
      <c r="G43" s="12"/>
      <c r="H43" s="12"/>
      <c r="I43" s="9"/>
      <c r="J43" s="9"/>
      <c r="K43" s="9"/>
      <c r="L43" s="9"/>
      <c r="M43" s="9"/>
      <c r="N43" s="9"/>
      <c r="O43" s="9"/>
      <c r="P43" s="9"/>
      <c r="Q43" s="12"/>
      <c r="S43" s="9"/>
    </row>
    <row r="44" spans="1:19" s="8" customFormat="1" ht="26.15" customHeight="1">
      <c r="A44" s="10"/>
      <c r="B44" s="10"/>
      <c r="C44" s="10"/>
      <c r="D44" s="35"/>
      <c r="E44" s="12"/>
      <c r="F44" s="12"/>
      <c r="G44" s="12"/>
      <c r="H44" s="12"/>
      <c r="I44" s="9"/>
      <c r="J44" s="9"/>
      <c r="K44" s="9"/>
      <c r="L44" s="9"/>
      <c r="M44" s="9"/>
      <c r="N44" s="9"/>
      <c r="O44" s="9"/>
      <c r="P44" s="9"/>
      <c r="Q44" s="12"/>
      <c r="S44" s="9"/>
    </row>
    <row r="45" spans="1:19" s="8" customFormat="1" ht="26.15" customHeight="1">
      <c r="A45" s="10"/>
      <c r="B45" s="10"/>
      <c r="C45" s="10"/>
      <c r="D45" s="35"/>
      <c r="E45" s="12"/>
      <c r="F45" s="12"/>
      <c r="G45" s="12"/>
      <c r="H45" s="12"/>
      <c r="I45" s="9"/>
      <c r="J45" s="9"/>
      <c r="K45" s="9"/>
      <c r="L45" s="9"/>
      <c r="M45" s="9"/>
      <c r="N45" s="9"/>
      <c r="O45" s="9"/>
      <c r="P45" s="9"/>
      <c r="Q45" s="12"/>
      <c r="S45" s="9"/>
    </row>
    <row r="46" spans="1:19" s="8" customFormat="1" ht="26.15" customHeight="1">
      <c r="A46" s="10"/>
      <c r="B46" s="10"/>
      <c r="C46" s="10"/>
      <c r="D46" s="35"/>
      <c r="E46" s="12"/>
      <c r="F46" s="12"/>
      <c r="G46" s="12"/>
      <c r="H46" s="12"/>
      <c r="I46" s="9"/>
      <c r="J46" s="9"/>
      <c r="K46" s="9"/>
      <c r="L46" s="9"/>
      <c r="M46" s="9"/>
      <c r="N46" s="9"/>
      <c r="O46" s="9"/>
      <c r="P46" s="9"/>
      <c r="Q46" s="12"/>
      <c r="S46" s="9"/>
    </row>
    <row r="47" spans="1:19" s="8" customFormat="1" ht="26.15" customHeight="1">
      <c r="A47" s="10"/>
      <c r="B47" s="10"/>
      <c r="C47" s="10"/>
      <c r="D47" s="35"/>
      <c r="E47" s="12"/>
      <c r="F47" s="12"/>
      <c r="G47" s="12"/>
      <c r="H47" s="12"/>
      <c r="I47" s="9"/>
      <c r="J47" s="9"/>
      <c r="K47" s="9"/>
      <c r="L47" s="9"/>
      <c r="M47" s="9"/>
      <c r="N47" s="9"/>
      <c r="O47" s="9"/>
      <c r="P47" s="9"/>
      <c r="Q47" s="12"/>
      <c r="S47" s="9"/>
    </row>
    <row r="48" spans="1:19" s="8" customFormat="1" ht="26.15" customHeight="1">
      <c r="A48" s="10"/>
      <c r="B48" s="10"/>
      <c r="C48" s="10"/>
      <c r="D48" s="35"/>
      <c r="E48" s="12"/>
      <c r="F48" s="12"/>
      <c r="G48" s="12"/>
      <c r="H48" s="12"/>
      <c r="I48" s="9"/>
      <c r="J48" s="9"/>
      <c r="K48" s="9"/>
      <c r="L48" s="9"/>
      <c r="M48" s="9"/>
      <c r="N48" s="9"/>
      <c r="O48" s="9"/>
      <c r="P48" s="9"/>
      <c r="Q48" s="12"/>
      <c r="S48" s="9"/>
    </row>
    <row r="49" spans="1:19" s="8" customFormat="1" ht="26.15" customHeight="1">
      <c r="A49" s="10"/>
      <c r="B49" s="10"/>
      <c r="C49" s="10"/>
      <c r="D49" s="35"/>
      <c r="E49" s="12"/>
      <c r="F49" s="12"/>
      <c r="G49" s="12"/>
      <c r="H49" s="12"/>
      <c r="I49" s="9"/>
      <c r="J49" s="9"/>
      <c r="K49" s="9"/>
      <c r="L49" s="9"/>
      <c r="M49" s="9"/>
      <c r="N49" s="9"/>
      <c r="O49" s="9"/>
      <c r="P49" s="9"/>
      <c r="Q49" s="12"/>
      <c r="S49" s="9"/>
    </row>
    <row r="50" spans="1:19" s="8" customFormat="1" ht="26.15" customHeight="1">
      <c r="A50" s="10"/>
      <c r="B50" s="10"/>
      <c r="C50" s="10"/>
      <c r="D50" s="35"/>
      <c r="E50" s="12"/>
      <c r="F50" s="12"/>
      <c r="G50" s="12"/>
      <c r="H50" s="12"/>
      <c r="I50" s="9"/>
      <c r="J50" s="9"/>
      <c r="K50" s="9"/>
      <c r="L50" s="9"/>
      <c r="M50" s="9"/>
      <c r="N50" s="9"/>
      <c r="O50" s="9"/>
      <c r="P50" s="9"/>
      <c r="Q50" s="12"/>
      <c r="S50" s="9"/>
    </row>
    <row r="51" spans="1:19" s="8" customFormat="1" ht="26.15" customHeight="1">
      <c r="A51" s="10"/>
      <c r="B51" s="10"/>
      <c r="C51" s="10"/>
      <c r="D51" s="35"/>
      <c r="E51" s="12"/>
      <c r="F51" s="12"/>
      <c r="G51" s="12"/>
      <c r="H51" s="12"/>
      <c r="I51" s="9"/>
      <c r="J51" s="9"/>
      <c r="K51" s="9"/>
      <c r="L51" s="9"/>
      <c r="M51" s="9"/>
      <c r="N51" s="9"/>
      <c r="O51" s="9"/>
      <c r="P51" s="9"/>
      <c r="Q51" s="12"/>
      <c r="S51" s="9"/>
    </row>
    <row r="52" spans="1:19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9"/>
      <c r="N52" s="9"/>
      <c r="O52" s="9"/>
      <c r="P52" s="9"/>
      <c r="Q52" s="12"/>
      <c r="S52" s="9"/>
    </row>
    <row r="53" spans="1:19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9"/>
      <c r="N53" s="9"/>
      <c r="O53" s="9"/>
      <c r="P53" s="9"/>
      <c r="Q53" s="12"/>
      <c r="S53" s="9"/>
    </row>
    <row r="54" spans="1:19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9"/>
      <c r="N54" s="9"/>
      <c r="O54" s="9"/>
      <c r="P54" s="9"/>
      <c r="Q54" s="12"/>
      <c r="S54" s="9"/>
    </row>
    <row r="55" spans="1:19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9"/>
      <c r="N55" s="9"/>
      <c r="O55" s="9"/>
      <c r="P55" s="9"/>
      <c r="Q55" s="12"/>
      <c r="S55" s="9"/>
    </row>
    <row r="56" spans="1:19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9"/>
      <c r="N56" s="9"/>
      <c r="O56" s="9"/>
      <c r="P56" s="9"/>
      <c r="Q56" s="12"/>
      <c r="S56" s="9"/>
    </row>
    <row r="57" spans="1:19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9"/>
      <c r="N57" s="9"/>
      <c r="O57" s="9"/>
      <c r="P57" s="9"/>
      <c r="Q57" s="12"/>
      <c r="S57" s="9"/>
    </row>
    <row r="58" spans="1:19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9"/>
      <c r="N58" s="9"/>
      <c r="O58" s="9"/>
      <c r="P58" s="9"/>
      <c r="Q58" s="12"/>
      <c r="S58" s="9"/>
    </row>
    <row r="59" spans="1:19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9"/>
      <c r="N59" s="9"/>
      <c r="O59" s="9"/>
      <c r="P59" s="9"/>
      <c r="Q59" s="12"/>
      <c r="S59" s="9"/>
    </row>
    <row r="60" spans="1:19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9"/>
      <c r="N60" s="9"/>
      <c r="O60" s="9"/>
      <c r="P60" s="9"/>
      <c r="Q60" s="12"/>
      <c r="S60" s="9"/>
    </row>
    <row r="61" spans="1:19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9"/>
      <c r="N61" s="9"/>
      <c r="O61" s="9"/>
      <c r="P61" s="9"/>
      <c r="Q61" s="12"/>
      <c r="S61" s="9"/>
    </row>
    <row r="62" spans="1:19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9"/>
      <c r="N62" s="9"/>
      <c r="O62" s="9"/>
      <c r="P62" s="9"/>
      <c r="Q62" s="12"/>
      <c r="S62" s="9"/>
    </row>
    <row r="63" spans="1:19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9"/>
      <c r="N63" s="9"/>
      <c r="O63" s="9"/>
      <c r="P63" s="9"/>
      <c r="Q63" s="12"/>
      <c r="S63" s="9"/>
    </row>
    <row r="64" spans="1:19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9"/>
      <c r="N64" s="9"/>
      <c r="O64" s="9"/>
      <c r="P64" s="9"/>
      <c r="Q64" s="12"/>
      <c r="S64" s="9"/>
    </row>
    <row r="65" spans="1:19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9"/>
      <c r="N65" s="9"/>
      <c r="O65" s="9"/>
      <c r="P65" s="9"/>
      <c r="Q65" s="12"/>
      <c r="S65" s="9"/>
    </row>
    <row r="66" spans="1:19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9"/>
      <c r="N66" s="9"/>
      <c r="O66" s="9"/>
      <c r="P66" s="9"/>
      <c r="Q66" s="12"/>
      <c r="S66" s="9"/>
    </row>
    <row r="67" spans="1:19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9"/>
      <c r="N67" s="9"/>
      <c r="O67" s="9"/>
      <c r="P67" s="9"/>
      <c r="Q67" s="12"/>
      <c r="S67" s="9"/>
    </row>
    <row r="68" spans="1:19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9"/>
      <c r="N68" s="9"/>
      <c r="O68" s="9"/>
      <c r="P68" s="9"/>
      <c r="Q68" s="12"/>
      <c r="S68" s="9"/>
    </row>
    <row r="69" spans="1:19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9"/>
      <c r="N69" s="9"/>
      <c r="O69" s="9"/>
      <c r="P69" s="9"/>
      <c r="Q69" s="12"/>
      <c r="S69" s="9"/>
    </row>
    <row r="70" spans="1:19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9"/>
      <c r="N70" s="9"/>
      <c r="O70" s="9"/>
      <c r="P70" s="9"/>
      <c r="Q70" s="12"/>
      <c r="S70" s="9"/>
    </row>
    <row r="71" spans="1:19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9"/>
      <c r="N71" s="9"/>
      <c r="O71" s="9"/>
      <c r="P71" s="9"/>
      <c r="Q71" s="12"/>
      <c r="S71" s="9"/>
    </row>
    <row r="72" spans="1:19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9"/>
      <c r="N72" s="9"/>
      <c r="O72" s="9"/>
      <c r="P72" s="9"/>
      <c r="Q72" s="12"/>
      <c r="S72" s="9"/>
    </row>
  </sheetData>
  <mergeCells count="29">
    <mergeCell ref="A1:Q1"/>
    <mergeCell ref="A34:B34"/>
    <mergeCell ref="C34:I34"/>
    <mergeCell ref="O34:P34"/>
    <mergeCell ref="A35:B35"/>
    <mergeCell ref="Q7:Q8"/>
    <mergeCell ref="Q11:Q12"/>
    <mergeCell ref="Q30:Q31"/>
    <mergeCell ref="A36:B36"/>
    <mergeCell ref="A37:B37"/>
    <mergeCell ref="C37:Q37"/>
    <mergeCell ref="A38:B38"/>
    <mergeCell ref="A3:A4"/>
    <mergeCell ref="A5:A6"/>
    <mergeCell ref="A7:A8"/>
    <mergeCell ref="A11:A12"/>
    <mergeCell ref="A30:A31"/>
    <mergeCell ref="B3:B4"/>
    <mergeCell ref="B5:B6"/>
    <mergeCell ref="B7:B8"/>
    <mergeCell ref="B11:B12"/>
    <mergeCell ref="B30:B31"/>
    <mergeCell ref="Q3:Q4"/>
    <mergeCell ref="Q5:Q6"/>
    <mergeCell ref="R3:R4"/>
    <mergeCell ref="R5:R6"/>
    <mergeCell ref="R7:R8"/>
    <mergeCell ref="R11:R12"/>
    <mergeCell ref="R30:R31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5"/>
  <sheetViews>
    <sheetView workbookViewId="0">
      <pane xSplit="13" ySplit="1" topLeftCell="N29" activePane="bottomRight" state="frozen"/>
      <selection pane="topRight"/>
      <selection pane="bottomLeft"/>
      <selection pane="bottomRight" activeCell="N42" sqref="N42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9.33203125" style="9" customWidth="1"/>
    <col min="10" max="10" width="12" style="9" customWidth="1"/>
    <col min="11" max="11" width="9.08203125" style="9" customWidth="1"/>
    <col min="12" max="12" width="8.5" style="9" customWidth="1"/>
    <col min="13" max="13" width="11.9140625" style="12" customWidth="1"/>
    <col min="14" max="14" width="12.6640625" style="8" customWidth="1"/>
    <col min="15" max="15" width="11.5" style="9" customWidth="1"/>
    <col min="16" max="16" width="10.25" style="9" customWidth="1"/>
    <col min="17" max="16384" width="8.6640625" style="9"/>
  </cols>
  <sheetData>
    <row r="1" spans="1:15" ht="40" customHeight="1">
      <c r="A1" s="526" t="s">
        <v>115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158"/>
    </row>
    <row r="2" spans="1:15" s="10" customFormat="1" ht="26.15" customHeight="1">
      <c r="A2" s="159" t="s">
        <v>1</v>
      </c>
      <c r="B2" s="159" t="s">
        <v>2</v>
      </c>
      <c r="C2" s="159" t="s">
        <v>3</v>
      </c>
      <c r="D2" s="160" t="s">
        <v>4</v>
      </c>
      <c r="E2" s="159" t="s">
        <v>5</v>
      </c>
      <c r="F2" s="159" t="s">
        <v>6</v>
      </c>
      <c r="G2" s="159" t="s">
        <v>7</v>
      </c>
      <c r="H2" s="159" t="s">
        <v>8</v>
      </c>
      <c r="I2" s="159" t="s">
        <v>105</v>
      </c>
      <c r="J2" s="159" t="s">
        <v>10</v>
      </c>
      <c r="K2" s="159" t="s">
        <v>11</v>
      </c>
      <c r="L2" s="159" t="s">
        <v>12</v>
      </c>
      <c r="M2" s="159" t="s">
        <v>13</v>
      </c>
      <c r="N2" s="159" t="s">
        <v>14</v>
      </c>
    </row>
    <row r="3" spans="1:15" ht="26.15" customHeight="1">
      <c r="A3" s="544">
        <f>ROW()-2</f>
        <v>1</v>
      </c>
      <c r="B3" s="544" t="s">
        <v>15</v>
      </c>
      <c r="C3" s="59" t="s">
        <v>16</v>
      </c>
      <c r="D3" s="60">
        <v>135407</v>
      </c>
      <c r="E3" s="62">
        <v>1077.3</v>
      </c>
      <c r="F3" s="62">
        <v>1008.7</v>
      </c>
      <c r="G3" s="63">
        <v>60</v>
      </c>
      <c r="H3" s="63">
        <f t="shared" ref="H3:H33" si="0">(E3-F3)*G3</f>
        <v>4115.99999999999</v>
      </c>
      <c r="I3" s="64">
        <v>1.1000000000000001</v>
      </c>
      <c r="J3" s="64">
        <f>H3*I3</f>
        <v>4527.5999999999904</v>
      </c>
      <c r="K3" s="65"/>
      <c r="L3" s="66"/>
      <c r="M3" s="527">
        <f>J3+J4+K3+K4</f>
        <v>5210.6999999999898</v>
      </c>
      <c r="N3" s="524">
        <v>5210</v>
      </c>
    </row>
    <row r="4" spans="1:15" ht="26.15" customHeight="1">
      <c r="A4" s="545"/>
      <c r="B4" s="545"/>
      <c r="C4" s="59" t="s">
        <v>17</v>
      </c>
      <c r="D4" s="60">
        <v>222933</v>
      </c>
      <c r="E4" s="61">
        <v>8642</v>
      </c>
      <c r="F4" s="61">
        <v>8021</v>
      </c>
      <c r="G4" s="61">
        <v>1</v>
      </c>
      <c r="H4" s="63">
        <f t="shared" si="0"/>
        <v>621</v>
      </c>
      <c r="I4" s="64">
        <v>1.1000000000000001</v>
      </c>
      <c r="J4" s="64">
        <f>H4*I4</f>
        <v>683.1</v>
      </c>
      <c r="K4" s="65"/>
      <c r="L4" s="66"/>
      <c r="M4" s="527"/>
      <c r="N4" s="524"/>
    </row>
    <row r="5" spans="1:15" ht="26.15" customHeight="1">
      <c r="A5" s="544">
        <v>2</v>
      </c>
      <c r="B5" s="520" t="s">
        <v>18</v>
      </c>
      <c r="C5" s="59" t="s">
        <v>16</v>
      </c>
      <c r="D5" s="60">
        <v>135406</v>
      </c>
      <c r="E5" s="61">
        <v>467.2</v>
      </c>
      <c r="F5" s="61">
        <v>442.1</v>
      </c>
      <c r="G5" s="63">
        <v>40</v>
      </c>
      <c r="H5" s="63">
        <f t="shared" si="0"/>
        <v>1004</v>
      </c>
      <c r="I5" s="64">
        <v>1.1000000000000001</v>
      </c>
      <c r="J5" s="64">
        <f>H5*I5</f>
        <v>1104.4000000000001</v>
      </c>
      <c r="K5" s="65"/>
      <c r="L5" s="66"/>
      <c r="M5" s="527">
        <f>J5+J6+K5+K6</f>
        <v>1104.4000000000001</v>
      </c>
      <c r="N5" s="532">
        <v>1104</v>
      </c>
      <c r="O5" s="68"/>
    </row>
    <row r="6" spans="1:15" ht="26.15" customHeight="1">
      <c r="A6" s="545"/>
      <c r="B6" s="520"/>
      <c r="C6" s="59" t="s">
        <v>17</v>
      </c>
      <c r="D6" s="85" t="s">
        <v>19</v>
      </c>
      <c r="E6" s="61">
        <v>184</v>
      </c>
      <c r="F6" s="61">
        <v>184</v>
      </c>
      <c r="G6" s="63">
        <v>1</v>
      </c>
      <c r="H6" s="63">
        <f t="shared" si="0"/>
        <v>0</v>
      </c>
      <c r="I6" s="64">
        <v>1.1000000000000001</v>
      </c>
      <c r="J6" s="64">
        <f>H6*I6</f>
        <v>0</v>
      </c>
      <c r="K6" s="65"/>
      <c r="L6" s="66"/>
      <c r="M6" s="527"/>
      <c r="N6" s="533"/>
    </row>
    <row r="7" spans="1:15" ht="26.15" customHeight="1">
      <c r="A7" s="544">
        <v>3</v>
      </c>
      <c r="B7" s="520" t="s">
        <v>20</v>
      </c>
      <c r="C7" s="59" t="s">
        <v>16</v>
      </c>
      <c r="D7" s="60">
        <v>135400</v>
      </c>
      <c r="E7" s="61">
        <v>12.5</v>
      </c>
      <c r="F7" s="61">
        <v>11.7</v>
      </c>
      <c r="G7" s="63">
        <v>40</v>
      </c>
      <c r="H7" s="63">
        <f t="shared" si="0"/>
        <v>32</v>
      </c>
      <c r="I7" s="64">
        <v>1.1000000000000001</v>
      </c>
      <c r="J7" s="64">
        <f t="shared" ref="J7:J33" si="1">H7*I7</f>
        <v>35.200000000000003</v>
      </c>
      <c r="K7" s="65"/>
      <c r="L7" s="66"/>
      <c r="M7" s="527">
        <f>J7+J8+K7+K8</f>
        <v>138.6</v>
      </c>
      <c r="N7" s="524">
        <v>138.6</v>
      </c>
    </row>
    <row r="8" spans="1:15" ht="26.15" customHeight="1">
      <c r="A8" s="545"/>
      <c r="B8" s="520"/>
      <c r="C8" s="59" t="s">
        <v>17</v>
      </c>
      <c r="D8" s="85" t="s">
        <v>21</v>
      </c>
      <c r="E8" s="63">
        <v>553</v>
      </c>
      <c r="F8" s="63">
        <v>459</v>
      </c>
      <c r="G8" s="63">
        <v>1</v>
      </c>
      <c r="H8" s="63">
        <f t="shared" si="0"/>
        <v>94</v>
      </c>
      <c r="I8" s="64">
        <v>1.1000000000000001</v>
      </c>
      <c r="J8" s="64">
        <f t="shared" si="1"/>
        <v>103.4</v>
      </c>
      <c r="K8" s="65"/>
      <c r="L8" s="66"/>
      <c r="M8" s="527"/>
      <c r="N8" s="524"/>
    </row>
    <row r="9" spans="1:15" ht="26.15" customHeight="1">
      <c r="A9" s="59">
        <v>4</v>
      </c>
      <c r="B9" s="59" t="s">
        <v>22</v>
      </c>
      <c r="C9" s="59" t="s">
        <v>16</v>
      </c>
      <c r="D9" s="60">
        <v>135405</v>
      </c>
      <c r="E9" s="61">
        <v>362.1</v>
      </c>
      <c r="F9" s="61">
        <v>335.7</v>
      </c>
      <c r="G9" s="63">
        <v>40</v>
      </c>
      <c r="H9" s="63">
        <f t="shared" si="0"/>
        <v>1056</v>
      </c>
      <c r="I9" s="64">
        <v>1.1000000000000001</v>
      </c>
      <c r="J9" s="64">
        <f t="shared" si="1"/>
        <v>1161.5999999999999</v>
      </c>
      <c r="K9" s="65"/>
      <c r="L9" s="66"/>
      <c r="M9" s="64">
        <f>J9+K9</f>
        <v>1161.5999999999999</v>
      </c>
      <c r="N9" s="73">
        <v>1161</v>
      </c>
      <c r="O9" s="68"/>
    </row>
    <row r="10" spans="1:15" ht="26.15" customHeight="1">
      <c r="A10" s="59">
        <v>5</v>
      </c>
      <c r="B10" s="59" t="s">
        <v>23</v>
      </c>
      <c r="C10" s="59" t="s">
        <v>16</v>
      </c>
      <c r="D10" s="60">
        <v>135401</v>
      </c>
      <c r="E10" s="61">
        <v>68.599999999999994</v>
      </c>
      <c r="F10" s="61">
        <v>64</v>
      </c>
      <c r="G10" s="63">
        <v>20</v>
      </c>
      <c r="H10" s="63">
        <f t="shared" si="0"/>
        <v>91.999999999999901</v>
      </c>
      <c r="I10" s="64">
        <v>1.1000000000000001</v>
      </c>
      <c r="J10" s="64">
        <f t="shared" si="1"/>
        <v>101.2</v>
      </c>
      <c r="K10" s="65"/>
      <c r="L10" s="66"/>
      <c r="M10" s="64">
        <f>J10+K10</f>
        <v>101.2</v>
      </c>
      <c r="N10" s="73">
        <v>101</v>
      </c>
    </row>
    <row r="11" spans="1:15" ht="26.15" customHeight="1">
      <c r="A11" s="544">
        <v>6</v>
      </c>
      <c r="B11" s="520" t="s">
        <v>24</v>
      </c>
      <c r="C11" s="59" t="s">
        <v>25</v>
      </c>
      <c r="D11" s="60">
        <v>135402</v>
      </c>
      <c r="E11" s="61">
        <v>551.6</v>
      </c>
      <c r="F11" s="61">
        <v>502.8</v>
      </c>
      <c r="G11" s="63">
        <v>20</v>
      </c>
      <c r="H11" s="63">
        <f t="shared" si="0"/>
        <v>976</v>
      </c>
      <c r="I11" s="64">
        <v>1.1000000000000001</v>
      </c>
      <c r="J11" s="64">
        <f t="shared" si="1"/>
        <v>1073.5999999999999</v>
      </c>
      <c r="K11" s="65"/>
      <c r="L11" s="66"/>
      <c r="M11" s="527">
        <f>J11+J12+K11+K12</f>
        <v>2046</v>
      </c>
      <c r="N11" s="524">
        <v>2046</v>
      </c>
    </row>
    <row r="12" spans="1:15" ht="26.15" customHeight="1">
      <c r="A12" s="545"/>
      <c r="B12" s="520"/>
      <c r="C12" s="59" t="s">
        <v>26</v>
      </c>
      <c r="D12" s="60">
        <v>135408</v>
      </c>
      <c r="E12" s="61">
        <v>223.8</v>
      </c>
      <c r="F12" s="61">
        <v>201.7</v>
      </c>
      <c r="G12" s="63">
        <v>40</v>
      </c>
      <c r="H12" s="63">
        <f t="shared" si="0"/>
        <v>884.00000000000102</v>
      </c>
      <c r="I12" s="64">
        <v>1.1000000000000001</v>
      </c>
      <c r="J12" s="64">
        <f t="shared" si="1"/>
        <v>972.400000000001</v>
      </c>
      <c r="K12" s="65"/>
      <c r="L12" s="66"/>
      <c r="M12" s="527"/>
      <c r="N12" s="524"/>
    </row>
    <row r="13" spans="1:15" ht="26.15" customHeight="1">
      <c r="A13" s="59">
        <v>7</v>
      </c>
      <c r="B13" s="59" t="s">
        <v>27</v>
      </c>
      <c r="C13" s="59" t="s">
        <v>16</v>
      </c>
      <c r="D13" s="60">
        <v>136866</v>
      </c>
      <c r="E13" s="61">
        <v>222.1</v>
      </c>
      <c r="F13" s="61">
        <v>210.1</v>
      </c>
      <c r="G13" s="63">
        <v>20</v>
      </c>
      <c r="H13" s="63">
        <f t="shared" si="0"/>
        <v>240</v>
      </c>
      <c r="I13" s="64">
        <v>1.1000000000000001</v>
      </c>
      <c r="J13" s="64">
        <f t="shared" si="1"/>
        <v>264</v>
      </c>
      <c r="K13" s="65"/>
      <c r="L13" s="66"/>
      <c r="M13" s="64">
        <f>J13+K13</f>
        <v>264</v>
      </c>
      <c r="N13" s="73">
        <v>264</v>
      </c>
    </row>
    <row r="14" spans="1:15" ht="26.15" customHeight="1">
      <c r="A14" s="59">
        <v>8</v>
      </c>
      <c r="B14" s="59" t="s">
        <v>28</v>
      </c>
      <c r="C14" s="59" t="s">
        <v>16</v>
      </c>
      <c r="D14" s="72">
        <v>135847</v>
      </c>
      <c r="E14" s="61">
        <v>197.7</v>
      </c>
      <c r="F14" s="61">
        <v>187.6</v>
      </c>
      <c r="G14" s="63">
        <v>40</v>
      </c>
      <c r="H14" s="63">
        <f t="shared" si="0"/>
        <v>404</v>
      </c>
      <c r="I14" s="64">
        <v>1.1000000000000001</v>
      </c>
      <c r="J14" s="64">
        <f t="shared" si="1"/>
        <v>444.4</v>
      </c>
      <c r="K14" s="65"/>
      <c r="L14" s="66"/>
      <c r="M14" s="64">
        <f t="shared" ref="M14:M33" si="2">J14+K14</f>
        <v>444.4</v>
      </c>
      <c r="N14" s="73">
        <v>444</v>
      </c>
      <c r="O14" s="74"/>
    </row>
    <row r="15" spans="1:15" ht="26.15" customHeight="1">
      <c r="A15" s="59">
        <v>9</v>
      </c>
      <c r="B15" s="59" t="s">
        <v>29</v>
      </c>
      <c r="C15" s="59" t="s">
        <v>16</v>
      </c>
      <c r="D15" s="60">
        <v>135848</v>
      </c>
      <c r="E15" s="61">
        <v>606.20000000000005</v>
      </c>
      <c r="F15" s="61">
        <v>545.79999999999995</v>
      </c>
      <c r="G15" s="76">
        <v>40</v>
      </c>
      <c r="H15" s="63">
        <f t="shared" si="0"/>
        <v>2416</v>
      </c>
      <c r="I15" s="64">
        <v>1.1000000000000001</v>
      </c>
      <c r="J15" s="64">
        <f t="shared" si="1"/>
        <v>2657.6</v>
      </c>
      <c r="K15" s="65"/>
      <c r="L15" s="66"/>
      <c r="M15" s="64">
        <f t="shared" si="2"/>
        <v>2657.6</v>
      </c>
      <c r="N15" s="73">
        <v>2657.6</v>
      </c>
    </row>
    <row r="16" spans="1:15" ht="26.15" customHeight="1">
      <c r="A16" s="544">
        <v>10</v>
      </c>
      <c r="B16" s="544" t="s">
        <v>31</v>
      </c>
      <c r="C16" s="544" t="s">
        <v>16</v>
      </c>
      <c r="D16" s="60">
        <v>135846</v>
      </c>
      <c r="E16" s="61">
        <v>579.9</v>
      </c>
      <c r="F16" s="61">
        <v>532.6</v>
      </c>
      <c r="G16" s="76">
        <v>40</v>
      </c>
      <c r="H16" s="63">
        <f t="shared" si="0"/>
        <v>1892</v>
      </c>
      <c r="I16" s="64">
        <v>1.1000000000000001</v>
      </c>
      <c r="J16" s="64">
        <f t="shared" si="1"/>
        <v>2081.1999999999998</v>
      </c>
      <c r="K16" s="65"/>
      <c r="L16" s="66"/>
      <c r="M16" s="548">
        <f>J16+K16+J17+K17</f>
        <v>2644.4</v>
      </c>
      <c r="N16" s="532">
        <v>2644</v>
      </c>
    </row>
    <row r="17" spans="1:17" ht="26.15" customHeight="1">
      <c r="A17" s="545"/>
      <c r="B17" s="545"/>
      <c r="C17" s="545"/>
      <c r="D17" s="77">
        <v>135379</v>
      </c>
      <c r="E17" s="66">
        <v>6.4</v>
      </c>
      <c r="F17" s="66">
        <v>0</v>
      </c>
      <c r="G17" s="66">
        <v>80</v>
      </c>
      <c r="H17" s="66">
        <f t="shared" si="0"/>
        <v>512</v>
      </c>
      <c r="I17" s="64">
        <v>1.1000000000000001</v>
      </c>
      <c r="J17" s="64">
        <f t="shared" si="1"/>
        <v>563.20000000000005</v>
      </c>
      <c r="K17" s="65"/>
      <c r="L17" s="66"/>
      <c r="M17" s="549"/>
      <c r="N17" s="533"/>
    </row>
    <row r="18" spans="1:17" ht="26.15" customHeight="1">
      <c r="A18" s="59">
        <v>11</v>
      </c>
      <c r="B18" s="59" t="s">
        <v>32</v>
      </c>
      <c r="C18" s="59" t="s">
        <v>16</v>
      </c>
      <c r="D18" s="60">
        <v>135845</v>
      </c>
      <c r="E18" s="61">
        <v>394.2</v>
      </c>
      <c r="F18" s="61">
        <v>366.5</v>
      </c>
      <c r="G18" s="76">
        <v>40</v>
      </c>
      <c r="H18" s="63">
        <f t="shared" si="0"/>
        <v>1108</v>
      </c>
      <c r="I18" s="64">
        <v>1.1000000000000001</v>
      </c>
      <c r="J18" s="64">
        <f t="shared" si="1"/>
        <v>1218.8</v>
      </c>
      <c r="K18" s="65"/>
      <c r="L18" s="66"/>
      <c r="M18" s="64">
        <f t="shared" si="2"/>
        <v>1218.8</v>
      </c>
      <c r="N18" s="64">
        <v>1218.8</v>
      </c>
      <c r="O18" s="8">
        <f>N18-M18</f>
        <v>0</v>
      </c>
      <c r="P18" s="73">
        <v>1276</v>
      </c>
      <c r="Q18" s="8">
        <f>P18-N18</f>
        <v>57.2</v>
      </c>
    </row>
    <row r="19" spans="1:17" ht="26.15" customHeight="1">
      <c r="A19" s="59">
        <v>12</v>
      </c>
      <c r="B19" s="59" t="s">
        <v>33</v>
      </c>
      <c r="C19" s="59" t="s">
        <v>16</v>
      </c>
      <c r="D19" s="72">
        <v>135844</v>
      </c>
      <c r="E19" s="61">
        <v>48.4</v>
      </c>
      <c r="F19" s="61">
        <v>41.9</v>
      </c>
      <c r="G19" s="80">
        <v>30</v>
      </c>
      <c r="H19" s="63">
        <f t="shared" si="0"/>
        <v>195</v>
      </c>
      <c r="I19" s="64">
        <v>1.1000000000000001</v>
      </c>
      <c r="J19" s="64">
        <f t="shared" si="1"/>
        <v>214.5</v>
      </c>
      <c r="K19" s="65"/>
      <c r="L19" s="66"/>
      <c r="M19" s="64">
        <f t="shared" si="2"/>
        <v>214.5</v>
      </c>
      <c r="N19" s="73">
        <v>214.5</v>
      </c>
    </row>
    <row r="20" spans="1:17" ht="26.15" customHeight="1">
      <c r="A20" s="59">
        <v>13</v>
      </c>
      <c r="B20" s="59" t="s">
        <v>34</v>
      </c>
      <c r="C20" s="59" t="s">
        <v>16</v>
      </c>
      <c r="D20" s="72">
        <v>135844</v>
      </c>
      <c r="E20" s="61">
        <v>54.5</v>
      </c>
      <c r="F20" s="61">
        <v>41.2</v>
      </c>
      <c r="G20" s="80">
        <v>30</v>
      </c>
      <c r="H20" s="63">
        <f t="shared" si="0"/>
        <v>399</v>
      </c>
      <c r="I20" s="64">
        <v>1.1000000000000001</v>
      </c>
      <c r="J20" s="64">
        <f t="shared" si="1"/>
        <v>438.9</v>
      </c>
      <c r="K20" s="65"/>
      <c r="L20" s="66"/>
      <c r="M20" s="64">
        <f t="shared" si="2"/>
        <v>438.9</v>
      </c>
      <c r="N20" s="73">
        <v>438</v>
      </c>
      <c r="O20" s="74"/>
    </row>
    <row r="21" spans="1:17" ht="26.15" customHeight="1">
      <c r="A21" s="59">
        <v>14</v>
      </c>
      <c r="B21" s="59" t="s">
        <v>35</v>
      </c>
      <c r="C21" s="59" t="s">
        <v>16</v>
      </c>
      <c r="D21" s="72">
        <v>135850</v>
      </c>
      <c r="E21" s="61">
        <v>187</v>
      </c>
      <c r="F21" s="61">
        <v>179.1</v>
      </c>
      <c r="G21" s="80">
        <v>30</v>
      </c>
      <c r="H21" s="63">
        <f t="shared" si="0"/>
        <v>237</v>
      </c>
      <c r="I21" s="64">
        <v>1.1000000000000001</v>
      </c>
      <c r="J21" s="64">
        <f t="shared" si="1"/>
        <v>260.7</v>
      </c>
      <c r="K21" s="65"/>
      <c r="L21" s="66"/>
      <c r="M21" s="64">
        <f t="shared" si="2"/>
        <v>260.7</v>
      </c>
      <c r="N21" s="73">
        <v>260</v>
      </c>
      <c r="O21" s="74"/>
    </row>
    <row r="22" spans="1:17" ht="26.15" customHeight="1">
      <c r="A22" s="59">
        <v>15</v>
      </c>
      <c r="B22" s="59" t="s">
        <v>36</v>
      </c>
      <c r="C22" s="59" t="s">
        <v>16</v>
      </c>
      <c r="D22" s="72">
        <v>135358</v>
      </c>
      <c r="E22" s="61">
        <v>196.4</v>
      </c>
      <c r="F22" s="61">
        <v>183.5</v>
      </c>
      <c r="G22" s="80">
        <v>40</v>
      </c>
      <c r="H22" s="63">
        <f t="shared" si="0"/>
        <v>516</v>
      </c>
      <c r="I22" s="64">
        <v>1.1000000000000001</v>
      </c>
      <c r="J22" s="64">
        <f t="shared" si="1"/>
        <v>567.6</v>
      </c>
      <c r="K22" s="65"/>
      <c r="L22" s="66"/>
      <c r="M22" s="64">
        <f t="shared" si="2"/>
        <v>567.6</v>
      </c>
      <c r="N22" s="73">
        <v>567.6</v>
      </c>
    </row>
    <row r="23" spans="1:17" ht="26.15" customHeight="1">
      <c r="A23" s="59">
        <v>16</v>
      </c>
      <c r="B23" s="59" t="s">
        <v>37</v>
      </c>
      <c r="C23" s="59" t="s">
        <v>16</v>
      </c>
      <c r="D23" s="72">
        <v>135380</v>
      </c>
      <c r="E23" s="61">
        <v>275</v>
      </c>
      <c r="F23" s="61">
        <v>256.60000000000002</v>
      </c>
      <c r="G23" s="80">
        <v>40</v>
      </c>
      <c r="H23" s="63">
        <f t="shared" si="0"/>
        <v>735.99999999999898</v>
      </c>
      <c r="I23" s="64">
        <v>1.1000000000000001</v>
      </c>
      <c r="J23" s="64">
        <f t="shared" si="1"/>
        <v>809.599999999999</v>
      </c>
      <c r="K23" s="65"/>
      <c r="L23" s="66"/>
      <c r="M23" s="64">
        <f t="shared" si="2"/>
        <v>809.599999999999</v>
      </c>
      <c r="N23" s="73">
        <v>809</v>
      </c>
    </row>
    <row r="24" spans="1:17" ht="26.15" customHeight="1">
      <c r="A24" s="59">
        <v>17</v>
      </c>
      <c r="B24" s="59" t="s">
        <v>38</v>
      </c>
      <c r="C24" s="59" t="s">
        <v>16</v>
      </c>
      <c r="D24" s="60">
        <v>135376</v>
      </c>
      <c r="E24" s="61">
        <v>28.2</v>
      </c>
      <c r="F24" s="61">
        <v>24.2</v>
      </c>
      <c r="G24" s="76">
        <v>40</v>
      </c>
      <c r="H24" s="63">
        <f t="shared" si="0"/>
        <v>160</v>
      </c>
      <c r="I24" s="64">
        <v>1.1000000000000001</v>
      </c>
      <c r="J24" s="64">
        <f t="shared" si="1"/>
        <v>176</v>
      </c>
      <c r="K24" s="65"/>
      <c r="L24" s="66"/>
      <c r="M24" s="64">
        <f t="shared" si="2"/>
        <v>176</v>
      </c>
      <c r="N24" s="73">
        <v>176</v>
      </c>
      <c r="O24" s="74"/>
    </row>
    <row r="25" spans="1:17" ht="26.15" customHeight="1">
      <c r="A25" s="59">
        <v>18</v>
      </c>
      <c r="B25" s="59" t="s">
        <v>39</v>
      </c>
      <c r="C25" s="59" t="s">
        <v>16</v>
      </c>
      <c r="D25" s="85" t="s">
        <v>40</v>
      </c>
      <c r="E25" s="61">
        <v>430</v>
      </c>
      <c r="F25" s="61">
        <v>367</v>
      </c>
      <c r="G25" s="76">
        <v>1</v>
      </c>
      <c r="H25" s="63">
        <f t="shared" si="0"/>
        <v>63</v>
      </c>
      <c r="I25" s="64">
        <v>1.1000000000000001</v>
      </c>
      <c r="J25" s="64">
        <f t="shared" si="1"/>
        <v>69.3</v>
      </c>
      <c r="K25" s="65"/>
      <c r="L25" s="66"/>
      <c r="M25" s="64">
        <f t="shared" si="2"/>
        <v>69.3</v>
      </c>
      <c r="N25" s="73">
        <v>69.3</v>
      </c>
    </row>
    <row r="26" spans="1:17" ht="26.15" customHeight="1">
      <c r="A26" s="59">
        <v>19</v>
      </c>
      <c r="B26" s="59" t="s">
        <v>41</v>
      </c>
      <c r="C26" s="59" t="s">
        <v>16</v>
      </c>
      <c r="D26" s="85" t="s">
        <v>42</v>
      </c>
      <c r="E26" s="61">
        <v>1755</v>
      </c>
      <c r="F26" s="61">
        <v>1491</v>
      </c>
      <c r="G26" s="76">
        <v>1</v>
      </c>
      <c r="H26" s="63">
        <f t="shared" si="0"/>
        <v>264</v>
      </c>
      <c r="I26" s="64">
        <v>1.1000000000000001</v>
      </c>
      <c r="J26" s="64">
        <f t="shared" si="1"/>
        <v>290.39999999999998</v>
      </c>
      <c r="K26" s="65"/>
      <c r="L26" s="66"/>
      <c r="M26" s="64">
        <f t="shared" si="2"/>
        <v>290.39999999999998</v>
      </c>
      <c r="N26" s="73">
        <v>290.39999999999998</v>
      </c>
    </row>
    <row r="27" spans="1:17" ht="26.15" customHeight="1">
      <c r="A27" s="59">
        <v>20</v>
      </c>
      <c r="B27" s="59" t="s">
        <v>43</v>
      </c>
      <c r="C27" s="59" t="s">
        <v>16</v>
      </c>
      <c r="D27" s="60">
        <v>281917</v>
      </c>
      <c r="E27" s="61">
        <v>48</v>
      </c>
      <c r="F27" s="61">
        <v>42.1</v>
      </c>
      <c r="G27" s="76">
        <v>100</v>
      </c>
      <c r="H27" s="63">
        <f t="shared" si="0"/>
        <v>590</v>
      </c>
      <c r="I27" s="64">
        <v>1.1000000000000001</v>
      </c>
      <c r="J27" s="64">
        <f t="shared" si="1"/>
        <v>649</v>
      </c>
      <c r="K27" s="65"/>
      <c r="L27" s="66"/>
      <c r="M27" s="64">
        <f t="shared" si="2"/>
        <v>649</v>
      </c>
      <c r="N27" s="73">
        <v>649</v>
      </c>
    </row>
    <row r="28" spans="1:17" ht="26.15" customHeight="1">
      <c r="A28" s="59">
        <v>21</v>
      </c>
      <c r="B28" s="59" t="s">
        <v>44</v>
      </c>
      <c r="C28" s="59" t="s">
        <v>16</v>
      </c>
      <c r="D28" s="60">
        <v>136865</v>
      </c>
      <c r="E28" s="61">
        <v>281</v>
      </c>
      <c r="F28" s="61">
        <v>267.5</v>
      </c>
      <c r="G28" s="76">
        <v>20</v>
      </c>
      <c r="H28" s="63">
        <f t="shared" si="0"/>
        <v>270</v>
      </c>
      <c r="I28" s="64">
        <v>1.1000000000000001</v>
      </c>
      <c r="J28" s="64">
        <f t="shared" si="1"/>
        <v>297</v>
      </c>
      <c r="K28" s="65"/>
      <c r="L28" s="66"/>
      <c r="M28" s="64">
        <f t="shared" si="2"/>
        <v>297</v>
      </c>
      <c r="N28" s="73">
        <v>297</v>
      </c>
    </row>
    <row r="29" spans="1:17" ht="26.15" customHeight="1">
      <c r="A29" s="59">
        <v>22</v>
      </c>
      <c r="B29" s="59" t="s">
        <v>46</v>
      </c>
      <c r="C29" s="59" t="s">
        <v>16</v>
      </c>
      <c r="D29" s="60">
        <v>121780</v>
      </c>
      <c r="E29" s="61">
        <v>50.5</v>
      </c>
      <c r="F29" s="61">
        <v>45.6</v>
      </c>
      <c r="G29" s="76">
        <v>20</v>
      </c>
      <c r="H29" s="63">
        <f t="shared" si="0"/>
        <v>98</v>
      </c>
      <c r="I29" s="64">
        <v>1.1000000000000001</v>
      </c>
      <c r="J29" s="64">
        <f t="shared" si="1"/>
        <v>107.8</v>
      </c>
      <c r="K29" s="65"/>
      <c r="L29" s="66"/>
      <c r="M29" s="64">
        <f t="shared" si="2"/>
        <v>107.8</v>
      </c>
      <c r="N29" s="73">
        <v>108</v>
      </c>
      <c r="O29" s="74"/>
    </row>
    <row r="30" spans="1:17" ht="26.15" customHeight="1">
      <c r="A30" s="59">
        <v>23</v>
      </c>
      <c r="B30" s="59" t="s">
        <v>47</v>
      </c>
      <c r="C30" s="59" t="s">
        <v>16</v>
      </c>
      <c r="D30" s="60">
        <v>135940</v>
      </c>
      <c r="E30" s="61">
        <v>37.5</v>
      </c>
      <c r="F30" s="61">
        <v>33.9</v>
      </c>
      <c r="G30" s="76">
        <v>30</v>
      </c>
      <c r="H30" s="63">
        <f t="shared" si="0"/>
        <v>108</v>
      </c>
      <c r="I30" s="64">
        <v>1.1000000000000001</v>
      </c>
      <c r="J30" s="64">
        <f t="shared" si="1"/>
        <v>118.8</v>
      </c>
      <c r="K30" s="65"/>
      <c r="L30" s="66"/>
      <c r="M30" s="64">
        <f t="shared" si="2"/>
        <v>118.8</v>
      </c>
      <c r="N30" s="73">
        <v>119</v>
      </c>
    </row>
    <row r="31" spans="1:17" ht="26.15" customHeight="1">
      <c r="A31" s="163">
        <v>24</v>
      </c>
      <c r="B31" s="163" t="s">
        <v>48</v>
      </c>
      <c r="C31" s="59" t="s">
        <v>16</v>
      </c>
      <c r="D31" s="85">
        <v>121780</v>
      </c>
      <c r="E31" s="63">
        <v>2536.6999999999998</v>
      </c>
      <c r="F31" s="63">
        <v>2284.3000000000002</v>
      </c>
      <c r="G31" s="63">
        <v>30</v>
      </c>
      <c r="H31" s="63">
        <f t="shared" si="0"/>
        <v>7571.99999999999</v>
      </c>
      <c r="I31" s="64">
        <v>1.1000000000000001</v>
      </c>
      <c r="J31" s="64">
        <f t="shared" si="1"/>
        <v>8329.1999999999898</v>
      </c>
      <c r="K31" s="64"/>
      <c r="L31" s="66"/>
      <c r="M31" s="64">
        <f t="shared" si="2"/>
        <v>8329.1999999999898</v>
      </c>
      <c r="N31" s="165"/>
    </row>
    <row r="32" spans="1:17" ht="26.15" customHeight="1">
      <c r="A32" s="59">
        <v>25</v>
      </c>
      <c r="B32" s="162" t="s">
        <v>49</v>
      </c>
      <c r="C32" s="59" t="s">
        <v>16</v>
      </c>
      <c r="D32" s="77">
        <v>134768</v>
      </c>
      <c r="E32" s="63">
        <v>539.6</v>
      </c>
      <c r="F32" s="63">
        <v>389.7</v>
      </c>
      <c r="G32" s="63">
        <v>80</v>
      </c>
      <c r="H32" s="63">
        <f t="shared" si="0"/>
        <v>11992</v>
      </c>
      <c r="I32" s="64">
        <v>1.1000000000000001</v>
      </c>
      <c r="J32" s="64">
        <f t="shared" si="1"/>
        <v>13191.2</v>
      </c>
      <c r="K32" s="65"/>
      <c r="L32" s="66"/>
      <c r="M32" s="64">
        <f t="shared" si="2"/>
        <v>13191.2</v>
      </c>
      <c r="N32" s="164">
        <v>13191</v>
      </c>
    </row>
    <row r="33" spans="1:16" ht="26.15" customHeight="1">
      <c r="A33" s="59">
        <v>26</v>
      </c>
      <c r="B33" s="162" t="s">
        <v>111</v>
      </c>
      <c r="C33" s="59" t="s">
        <v>16</v>
      </c>
      <c r="D33" s="77">
        <v>135939</v>
      </c>
      <c r="E33" s="63">
        <v>5.2</v>
      </c>
      <c r="F33" s="63">
        <v>5.2</v>
      </c>
      <c r="G33" s="63">
        <v>80</v>
      </c>
      <c r="H33" s="63">
        <f t="shared" si="0"/>
        <v>0</v>
      </c>
      <c r="I33" s="64">
        <v>1.1000000000000001</v>
      </c>
      <c r="J33" s="64">
        <f t="shared" si="1"/>
        <v>0</v>
      </c>
      <c r="K33" s="65">
        <v>457.6</v>
      </c>
      <c r="L33" s="66" t="s">
        <v>116</v>
      </c>
      <c r="M33" s="64">
        <f t="shared" si="2"/>
        <v>457.6</v>
      </c>
      <c r="N33" s="164">
        <v>457.6</v>
      </c>
    </row>
    <row r="34" spans="1:16" ht="26.15" customHeight="1">
      <c r="A34" s="530" t="s">
        <v>51</v>
      </c>
      <c r="B34" s="530"/>
      <c r="C34" s="520"/>
      <c r="D34" s="520"/>
      <c r="E34" s="520"/>
      <c r="F34" s="520"/>
      <c r="G34" s="520"/>
      <c r="H34" s="520"/>
      <c r="I34" s="520"/>
      <c r="J34" s="161">
        <f>SUM(J3:J33)</f>
        <v>42511.7</v>
      </c>
      <c r="K34" s="520"/>
      <c r="L34" s="520"/>
      <c r="M34" s="64">
        <f>SUM(M3:M33)</f>
        <v>42969.3</v>
      </c>
      <c r="N34" s="64">
        <f>SUM(N3:N33)</f>
        <v>34635.4</v>
      </c>
      <c r="O34" s="68"/>
    </row>
    <row r="35" spans="1:16" ht="26.15" customHeight="1">
      <c r="A35" s="530" t="s">
        <v>112</v>
      </c>
      <c r="B35" s="53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73">
        <v>-1905</v>
      </c>
    </row>
    <row r="36" spans="1:16" ht="26.15" customHeight="1">
      <c r="A36" s="530" t="s">
        <v>117</v>
      </c>
      <c r="B36" s="530"/>
      <c r="C36" s="530" t="s">
        <v>118</v>
      </c>
      <c r="D36" s="530"/>
      <c r="E36" s="530"/>
      <c r="F36" s="530"/>
      <c r="G36" s="530"/>
      <c r="H36" s="530"/>
      <c r="I36" s="530"/>
      <c r="J36" s="530"/>
      <c r="K36" s="530"/>
      <c r="L36" s="530"/>
      <c r="M36" s="530"/>
      <c r="N36" s="73">
        <v>-590</v>
      </c>
    </row>
    <row r="37" spans="1:16" ht="26.15" customHeight="1">
      <c r="A37" s="530"/>
      <c r="B37" s="530"/>
      <c r="C37" s="530" t="s">
        <v>119</v>
      </c>
      <c r="D37" s="530"/>
      <c r="E37" s="530"/>
      <c r="F37" s="530"/>
      <c r="G37" s="530"/>
      <c r="H37" s="530"/>
      <c r="I37" s="530"/>
      <c r="J37" s="530"/>
      <c r="K37" s="530"/>
      <c r="L37" s="530"/>
      <c r="M37" s="530"/>
      <c r="N37" s="73">
        <v>-100</v>
      </c>
    </row>
    <row r="38" spans="1:16" ht="26.15" customHeight="1">
      <c r="A38" s="530"/>
      <c r="B38" s="530"/>
      <c r="C38" s="530" t="s">
        <v>120</v>
      </c>
      <c r="D38" s="530"/>
      <c r="E38" s="530"/>
      <c r="F38" s="530"/>
      <c r="G38" s="530"/>
      <c r="H38" s="530"/>
      <c r="I38" s="530"/>
      <c r="J38" s="530"/>
      <c r="K38" s="530"/>
      <c r="L38" s="530"/>
      <c r="M38" s="530"/>
      <c r="N38" s="73">
        <v>-5230</v>
      </c>
    </row>
    <row r="39" spans="1:16" ht="26.15" customHeight="1">
      <c r="A39" s="530"/>
      <c r="B39" s="530"/>
      <c r="C39" s="530" t="s">
        <v>121</v>
      </c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73">
        <v>-34</v>
      </c>
    </row>
    <row r="40" spans="1:16" ht="26.15" customHeight="1">
      <c r="A40" s="530"/>
      <c r="B40" s="530"/>
      <c r="C40" s="530" t="s">
        <v>122</v>
      </c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73">
        <f>-91.9+-65.9</f>
        <v>-157.80000000000001</v>
      </c>
    </row>
    <row r="41" spans="1:16" ht="26.15" customHeight="1">
      <c r="A41" s="530"/>
      <c r="B41" s="530"/>
      <c r="C41" s="530" t="s">
        <v>123</v>
      </c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73">
        <v>-28797</v>
      </c>
      <c r="O41" s="9">
        <v>29368.49</v>
      </c>
      <c r="P41" s="14">
        <f>O41+N41</f>
        <v>571.4900000000016</v>
      </c>
    </row>
    <row r="42" spans="1:16" ht="26.15" customHeight="1">
      <c r="A42" s="530"/>
      <c r="B42" s="530"/>
      <c r="C42" s="530" t="s">
        <v>124</v>
      </c>
      <c r="D42" s="530"/>
      <c r="E42" s="530"/>
      <c r="F42" s="530"/>
      <c r="G42" s="530"/>
      <c r="H42" s="530"/>
      <c r="I42" s="530"/>
      <c r="J42" s="530"/>
      <c r="K42" s="530"/>
      <c r="L42" s="530"/>
      <c r="M42" s="530"/>
      <c r="N42" s="73">
        <v>-85684.86</v>
      </c>
    </row>
    <row r="43" spans="1:16" s="8" customFormat="1" ht="26.15" customHeight="1">
      <c r="A43" s="9"/>
      <c r="B43" s="9"/>
      <c r="C43" s="10"/>
      <c r="D43" s="35"/>
      <c r="E43" s="12"/>
      <c r="F43" s="12"/>
      <c r="G43" s="12"/>
      <c r="H43" s="12"/>
      <c r="I43" s="9"/>
      <c r="J43" s="68"/>
      <c r="K43" s="9"/>
      <c r="L43" s="9"/>
      <c r="M43" s="12"/>
      <c r="N43" s="68">
        <f>N34+SUM(N35:N42)</f>
        <v>-87863.260000000009</v>
      </c>
      <c r="O43" s="9"/>
    </row>
    <row r="44" spans="1:16" s="8" customFormat="1" ht="26.15" customHeight="1">
      <c r="A44" s="10"/>
      <c r="B44" s="10"/>
      <c r="C44" s="10"/>
      <c r="D44" s="35"/>
      <c r="E44" s="12"/>
      <c r="F44" s="12"/>
      <c r="G44" s="12"/>
      <c r="H44" s="12"/>
      <c r="I44" s="9"/>
      <c r="J44" s="9"/>
      <c r="K44" s="9"/>
      <c r="L44" s="9"/>
      <c r="M44" s="12"/>
      <c r="O44" s="9"/>
    </row>
    <row r="45" spans="1:16" s="8" customFormat="1" ht="26.15" customHeight="1">
      <c r="A45" s="10"/>
      <c r="B45" s="10"/>
      <c r="C45" s="10"/>
      <c r="D45" s="35"/>
      <c r="E45" s="12"/>
      <c r="F45" s="12"/>
      <c r="G45" s="12"/>
      <c r="H45" s="12"/>
      <c r="I45" s="9"/>
      <c r="J45" s="9"/>
      <c r="K45" s="9"/>
      <c r="L45" s="9"/>
      <c r="M45" s="12"/>
      <c r="O45" s="9"/>
    </row>
    <row r="46" spans="1:16" s="8" customFormat="1" ht="26.15" customHeight="1">
      <c r="A46" s="10"/>
      <c r="B46" s="10"/>
      <c r="C46" s="10"/>
      <c r="D46" s="35"/>
      <c r="E46" s="12"/>
      <c r="F46" s="12"/>
      <c r="G46" s="12"/>
      <c r="H46" s="12"/>
      <c r="I46" s="9"/>
      <c r="J46" s="9"/>
      <c r="K46" s="9"/>
      <c r="L46" s="9"/>
      <c r="M46" s="12"/>
      <c r="O46" s="9"/>
    </row>
    <row r="47" spans="1:16" s="8" customFormat="1" ht="26.15" customHeight="1">
      <c r="A47" s="10"/>
      <c r="B47" s="10"/>
      <c r="C47" s="10"/>
      <c r="D47" s="35"/>
      <c r="E47" s="12"/>
      <c r="F47" s="12"/>
      <c r="G47" s="12"/>
      <c r="H47" s="12"/>
      <c r="I47" s="9"/>
      <c r="J47" s="9"/>
      <c r="K47" s="9"/>
      <c r="L47" s="9"/>
      <c r="M47" s="12"/>
      <c r="O47" s="9"/>
    </row>
    <row r="48" spans="1:16" s="8" customFormat="1" ht="26.15" customHeight="1">
      <c r="A48" s="10"/>
      <c r="B48" s="10"/>
      <c r="C48" s="10"/>
      <c r="D48" s="35"/>
      <c r="E48" s="12"/>
      <c r="F48" s="12"/>
      <c r="G48" s="12"/>
      <c r="H48" s="12"/>
      <c r="I48" s="9"/>
      <c r="J48" s="9"/>
      <c r="K48" s="9"/>
      <c r="L48" s="9"/>
      <c r="M48" s="12"/>
      <c r="O48" s="9"/>
    </row>
    <row r="49" spans="1:15" s="8" customFormat="1" ht="26.15" customHeight="1">
      <c r="A49" s="10"/>
      <c r="B49" s="10"/>
      <c r="C49" s="10"/>
      <c r="D49" s="35"/>
      <c r="E49" s="12"/>
      <c r="F49" s="12"/>
      <c r="G49" s="12"/>
      <c r="H49" s="12"/>
      <c r="I49" s="9"/>
      <c r="J49" s="9"/>
      <c r="K49" s="9"/>
      <c r="L49" s="9"/>
      <c r="M49" s="12"/>
      <c r="O49" s="9"/>
    </row>
    <row r="50" spans="1:15" s="8" customFormat="1" ht="26.15" customHeight="1">
      <c r="A50" s="10"/>
      <c r="B50" s="10"/>
      <c r="C50" s="10"/>
      <c r="D50" s="35"/>
      <c r="E50" s="12"/>
      <c r="F50" s="12"/>
      <c r="G50" s="12"/>
      <c r="H50" s="12"/>
      <c r="I50" s="9"/>
      <c r="J50" s="9"/>
      <c r="K50" s="9"/>
      <c r="L50" s="9"/>
      <c r="M50" s="12"/>
      <c r="O50" s="9"/>
    </row>
    <row r="51" spans="1:15" s="8" customFormat="1" ht="26.15" customHeight="1">
      <c r="A51" s="10"/>
      <c r="B51" s="10"/>
      <c r="C51" s="10"/>
      <c r="D51" s="35"/>
      <c r="E51" s="12"/>
      <c r="F51" s="12"/>
      <c r="G51" s="12"/>
      <c r="H51" s="12"/>
      <c r="I51" s="9"/>
      <c r="J51" s="9"/>
      <c r="K51" s="9"/>
      <c r="L51" s="9"/>
      <c r="M51" s="12"/>
      <c r="O51" s="9"/>
    </row>
    <row r="52" spans="1:15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12"/>
      <c r="O52" s="9"/>
    </row>
    <row r="53" spans="1:15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12"/>
      <c r="O53" s="9"/>
    </row>
    <row r="54" spans="1:15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12"/>
      <c r="O54" s="9"/>
    </row>
    <row r="55" spans="1:15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12"/>
      <c r="O55" s="9"/>
    </row>
    <row r="56" spans="1:15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12"/>
      <c r="O56" s="9"/>
    </row>
    <row r="57" spans="1:15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12"/>
      <c r="O57" s="9"/>
    </row>
    <row r="58" spans="1:15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12"/>
      <c r="O58" s="9"/>
    </row>
    <row r="59" spans="1:15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12"/>
      <c r="O59" s="9"/>
    </row>
    <row r="60" spans="1:15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12"/>
      <c r="O60" s="9"/>
    </row>
    <row r="61" spans="1:15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12"/>
      <c r="O61" s="9"/>
    </row>
    <row r="62" spans="1:15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12"/>
      <c r="O62" s="9"/>
    </row>
    <row r="63" spans="1:15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12"/>
      <c r="O63" s="9"/>
    </row>
    <row r="64" spans="1:15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12"/>
      <c r="O64" s="9"/>
    </row>
    <row r="65" spans="1:15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12"/>
      <c r="O65" s="9"/>
    </row>
    <row r="66" spans="1:15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12"/>
      <c r="O66" s="9"/>
    </row>
    <row r="67" spans="1:15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12"/>
      <c r="O67" s="9"/>
    </row>
    <row r="68" spans="1:15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12"/>
      <c r="O68" s="9"/>
    </row>
    <row r="69" spans="1:15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12"/>
      <c r="O69" s="9"/>
    </row>
    <row r="70" spans="1:15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12"/>
      <c r="O70" s="9"/>
    </row>
    <row r="71" spans="1:15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12"/>
      <c r="O71" s="9"/>
    </row>
    <row r="72" spans="1:15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12"/>
      <c r="O72" s="9"/>
    </row>
    <row r="73" spans="1:15" s="8" customFormat="1" ht="26.15" customHeight="1">
      <c r="A73" s="10"/>
      <c r="B73" s="10"/>
      <c r="C73" s="10"/>
      <c r="D73" s="35"/>
      <c r="E73" s="12"/>
      <c r="F73" s="12"/>
      <c r="G73" s="12"/>
      <c r="H73" s="12"/>
      <c r="I73" s="9"/>
      <c r="J73" s="9"/>
      <c r="K73" s="9"/>
      <c r="L73" s="9"/>
      <c r="M73" s="12"/>
      <c r="O73" s="9"/>
    </row>
    <row r="74" spans="1:15" s="8" customFormat="1" ht="26.15" customHeight="1">
      <c r="A74" s="10"/>
      <c r="B74" s="10"/>
      <c r="C74" s="10"/>
      <c r="D74" s="35"/>
      <c r="E74" s="12"/>
      <c r="F74" s="12"/>
      <c r="G74" s="12"/>
      <c r="H74" s="12"/>
      <c r="I74" s="9"/>
      <c r="J74" s="9"/>
      <c r="K74" s="9"/>
      <c r="L74" s="9"/>
      <c r="M74" s="12"/>
      <c r="O74" s="9"/>
    </row>
    <row r="75" spans="1:15" s="8" customFormat="1" ht="26.15" customHeight="1">
      <c r="A75" s="10"/>
      <c r="B75" s="10"/>
      <c r="C75" s="10"/>
      <c r="D75" s="35"/>
      <c r="E75" s="12"/>
      <c r="F75" s="12"/>
      <c r="G75" s="12"/>
      <c r="H75" s="12"/>
      <c r="I75" s="9"/>
      <c r="J75" s="9"/>
      <c r="K75" s="9"/>
      <c r="L75" s="9"/>
      <c r="M75" s="12"/>
      <c r="O75" s="9"/>
    </row>
  </sheetData>
  <mergeCells count="35">
    <mergeCell ref="A1:M1"/>
    <mergeCell ref="A34:B34"/>
    <mergeCell ref="C34:I34"/>
    <mergeCell ref="K34:L34"/>
    <mergeCell ref="A35:B35"/>
    <mergeCell ref="C35:M35"/>
    <mergeCell ref="M11:M12"/>
    <mergeCell ref="M16:M17"/>
    <mergeCell ref="B11:B12"/>
    <mergeCell ref="B16:B17"/>
    <mergeCell ref="C16:C17"/>
    <mergeCell ref="M3:M4"/>
    <mergeCell ref="M5:M6"/>
    <mergeCell ref="M7:M8"/>
    <mergeCell ref="C36:M36"/>
    <mergeCell ref="C37:M37"/>
    <mergeCell ref="C38:M38"/>
    <mergeCell ref="C39:M39"/>
    <mergeCell ref="C40:M40"/>
    <mergeCell ref="A36:B42"/>
    <mergeCell ref="N3:N4"/>
    <mergeCell ref="N5:N6"/>
    <mergeCell ref="N7:N8"/>
    <mergeCell ref="N11:N12"/>
    <mergeCell ref="N16:N17"/>
    <mergeCell ref="C41:M41"/>
    <mergeCell ref="C42:M42"/>
    <mergeCell ref="A3:A4"/>
    <mergeCell ref="A5:A6"/>
    <mergeCell ref="A7:A8"/>
    <mergeCell ref="A11:A12"/>
    <mergeCell ref="A16:A17"/>
    <mergeCell ref="B3:B4"/>
    <mergeCell ref="B5:B6"/>
    <mergeCell ref="B7:B8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9"/>
  <sheetViews>
    <sheetView workbookViewId="0">
      <pane xSplit="13" ySplit="1" topLeftCell="N32" activePane="bottomRight" state="frozen"/>
      <selection pane="topRight"/>
      <selection pane="bottomLeft"/>
      <selection pane="bottomRight" activeCell="N35" sqref="N35:N46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9.33203125" style="9" customWidth="1"/>
    <col min="10" max="10" width="12" style="9" customWidth="1"/>
    <col min="11" max="11" width="9.08203125" style="9" customWidth="1"/>
    <col min="12" max="12" width="8.5" style="9" customWidth="1"/>
    <col min="13" max="13" width="11.9140625" style="12" customWidth="1"/>
    <col min="14" max="14" width="12.6640625" style="8" customWidth="1"/>
    <col min="15" max="15" width="11.5" style="9" customWidth="1"/>
    <col min="16" max="17" width="10.25" style="9" customWidth="1"/>
    <col min="18" max="16384" width="8.6640625" style="9"/>
  </cols>
  <sheetData>
    <row r="1" spans="1:15" ht="40" customHeight="1">
      <c r="A1" s="526" t="s">
        <v>125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158"/>
    </row>
    <row r="2" spans="1:15" s="10" customFormat="1" ht="26.15" customHeight="1">
      <c r="A2" s="159" t="s">
        <v>1</v>
      </c>
      <c r="B2" s="159" t="s">
        <v>2</v>
      </c>
      <c r="C2" s="159" t="s">
        <v>3</v>
      </c>
      <c r="D2" s="160" t="s">
        <v>4</v>
      </c>
      <c r="E2" s="159" t="s">
        <v>5</v>
      </c>
      <c r="F2" s="159" t="s">
        <v>6</v>
      </c>
      <c r="G2" s="159" t="s">
        <v>7</v>
      </c>
      <c r="H2" s="159" t="s">
        <v>8</v>
      </c>
      <c r="I2" s="159" t="s">
        <v>105</v>
      </c>
      <c r="J2" s="159" t="s">
        <v>10</v>
      </c>
      <c r="K2" s="159" t="s">
        <v>11</v>
      </c>
      <c r="L2" s="159" t="s">
        <v>12</v>
      </c>
      <c r="M2" s="159" t="s">
        <v>13</v>
      </c>
      <c r="N2" s="159" t="s">
        <v>14</v>
      </c>
    </row>
    <row r="3" spans="1:15" ht="26.15" customHeight="1">
      <c r="A3" s="520">
        <f>ROW()-2</f>
        <v>1</v>
      </c>
      <c r="B3" s="520" t="s">
        <v>15</v>
      </c>
      <c r="C3" s="59" t="s">
        <v>16</v>
      </c>
      <c r="D3" s="60">
        <v>135407</v>
      </c>
      <c r="E3" s="62">
        <v>1189.3</v>
      </c>
      <c r="F3" s="62">
        <v>1077.3</v>
      </c>
      <c r="G3" s="63">
        <v>60</v>
      </c>
      <c r="H3" s="63">
        <f t="shared" ref="H3:H33" si="0">(E3-F3)*G3</f>
        <v>6720</v>
      </c>
      <c r="I3" s="64">
        <v>1.1000000000000001</v>
      </c>
      <c r="J3" s="64">
        <f>H3*I3</f>
        <v>7392</v>
      </c>
      <c r="K3" s="65"/>
      <c r="L3" s="66"/>
      <c r="M3" s="527">
        <f>J3+J4+K3+K4</f>
        <v>8055.3</v>
      </c>
      <c r="N3" s="524">
        <v>8055</v>
      </c>
    </row>
    <row r="4" spans="1:15" ht="26.15" customHeight="1">
      <c r="A4" s="520"/>
      <c r="B4" s="520"/>
      <c r="C4" s="59" t="s">
        <v>17</v>
      </c>
      <c r="D4" s="60">
        <v>222933</v>
      </c>
      <c r="E4" s="61">
        <v>9245</v>
      </c>
      <c r="F4" s="61">
        <v>8642</v>
      </c>
      <c r="G4" s="61">
        <v>1</v>
      </c>
      <c r="H4" s="63">
        <f t="shared" si="0"/>
        <v>603</v>
      </c>
      <c r="I4" s="64">
        <v>1.1000000000000001</v>
      </c>
      <c r="J4" s="64">
        <f>H4*I4</f>
        <v>663.3</v>
      </c>
      <c r="K4" s="65"/>
      <c r="L4" s="66"/>
      <c r="M4" s="527"/>
      <c r="N4" s="524"/>
    </row>
    <row r="5" spans="1:15" ht="26.15" customHeight="1">
      <c r="A5" s="59">
        <v>2</v>
      </c>
      <c r="B5" s="59" t="s">
        <v>18</v>
      </c>
      <c r="C5" s="59" t="s">
        <v>16</v>
      </c>
      <c r="D5" s="60">
        <v>135406</v>
      </c>
      <c r="E5" s="61">
        <v>491.4</v>
      </c>
      <c r="F5" s="61">
        <v>467.2</v>
      </c>
      <c r="G5" s="63">
        <v>40</v>
      </c>
      <c r="H5" s="63">
        <f t="shared" si="0"/>
        <v>968</v>
      </c>
      <c r="I5" s="64">
        <v>1.1000000000000001</v>
      </c>
      <c r="J5" s="64">
        <f>H5*I5</f>
        <v>1064.8</v>
      </c>
      <c r="K5" s="65"/>
      <c r="L5" s="66"/>
      <c r="M5" s="64">
        <f>J5+K5</f>
        <v>1064.8</v>
      </c>
      <c r="N5" s="67">
        <v>1064</v>
      </c>
      <c r="O5" s="68"/>
    </row>
    <row r="6" spans="1:15" ht="26.15" customHeight="1">
      <c r="A6" s="520">
        <v>3</v>
      </c>
      <c r="B6" s="520" t="s">
        <v>20</v>
      </c>
      <c r="C6" s="59" t="s">
        <v>16</v>
      </c>
      <c r="D6" s="60">
        <v>135400</v>
      </c>
      <c r="E6" s="61">
        <v>13.3</v>
      </c>
      <c r="F6" s="61">
        <v>12.5</v>
      </c>
      <c r="G6" s="63">
        <v>40</v>
      </c>
      <c r="H6" s="63">
        <f t="shared" si="0"/>
        <v>32</v>
      </c>
      <c r="I6" s="64">
        <v>1.1000000000000001</v>
      </c>
      <c r="J6" s="64">
        <f t="shared" ref="J6:J33" si="1">H6*I6</f>
        <v>35.200000000000003</v>
      </c>
      <c r="K6" s="65"/>
      <c r="L6" s="66"/>
      <c r="M6" s="527">
        <f>J6+J7+K6+K7</f>
        <v>160.6</v>
      </c>
      <c r="N6" s="524">
        <v>160.6</v>
      </c>
    </row>
    <row r="7" spans="1:15" ht="26.15" customHeight="1">
      <c r="A7" s="520"/>
      <c r="B7" s="520"/>
      <c r="C7" s="59" t="s">
        <v>17</v>
      </c>
      <c r="D7" s="85" t="s">
        <v>21</v>
      </c>
      <c r="E7" s="63">
        <v>667</v>
      </c>
      <c r="F7" s="63">
        <v>553</v>
      </c>
      <c r="G7" s="63">
        <v>1</v>
      </c>
      <c r="H7" s="63">
        <f t="shared" si="0"/>
        <v>114</v>
      </c>
      <c r="I7" s="64">
        <v>1.1000000000000001</v>
      </c>
      <c r="J7" s="64">
        <f t="shared" si="1"/>
        <v>125.4</v>
      </c>
      <c r="K7" s="65"/>
      <c r="L7" s="66"/>
      <c r="M7" s="527"/>
      <c r="N7" s="524"/>
    </row>
    <row r="8" spans="1:15" ht="26.15" customHeight="1">
      <c r="A8" s="59">
        <v>4</v>
      </c>
      <c r="B8" s="59" t="s">
        <v>22</v>
      </c>
      <c r="C8" s="59" t="s">
        <v>16</v>
      </c>
      <c r="D8" s="60">
        <v>135405</v>
      </c>
      <c r="E8" s="61">
        <v>388.8</v>
      </c>
      <c r="F8" s="61">
        <v>362.1</v>
      </c>
      <c r="G8" s="63">
        <v>40</v>
      </c>
      <c r="H8" s="63">
        <f t="shared" si="0"/>
        <v>1068</v>
      </c>
      <c r="I8" s="64">
        <v>1.1000000000000001</v>
      </c>
      <c r="J8" s="64">
        <f t="shared" si="1"/>
        <v>1174.8</v>
      </c>
      <c r="K8" s="65"/>
      <c r="L8" s="66"/>
      <c r="M8" s="64">
        <f>J8+K8</f>
        <v>1174.8</v>
      </c>
      <c r="N8" s="73">
        <v>1174.8</v>
      </c>
      <c r="O8" s="68"/>
    </row>
    <row r="9" spans="1:15" ht="26.15" customHeight="1">
      <c r="A9" s="59">
        <v>5</v>
      </c>
      <c r="B9" s="59" t="s">
        <v>23</v>
      </c>
      <c r="C9" s="59" t="s">
        <v>16</v>
      </c>
      <c r="D9" s="60">
        <v>135401</v>
      </c>
      <c r="E9" s="61">
        <v>73.900000000000006</v>
      </c>
      <c r="F9" s="61">
        <v>68.599999999999994</v>
      </c>
      <c r="G9" s="63">
        <v>20</v>
      </c>
      <c r="H9" s="63">
        <f t="shared" si="0"/>
        <v>106</v>
      </c>
      <c r="I9" s="64">
        <v>1.1000000000000001</v>
      </c>
      <c r="J9" s="64">
        <f t="shared" si="1"/>
        <v>116.6</v>
      </c>
      <c r="K9" s="65"/>
      <c r="L9" s="66"/>
      <c r="M9" s="64">
        <f>J9+K9</f>
        <v>116.6</v>
      </c>
      <c r="N9" s="73">
        <v>116.6</v>
      </c>
    </row>
    <row r="10" spans="1:15" ht="26.15" customHeight="1">
      <c r="A10" s="520">
        <v>6</v>
      </c>
      <c r="B10" s="520" t="s">
        <v>24</v>
      </c>
      <c r="C10" s="59" t="s">
        <v>25</v>
      </c>
      <c r="D10" s="60">
        <v>135402</v>
      </c>
      <c r="E10" s="61">
        <v>602.70000000000005</v>
      </c>
      <c r="F10" s="61">
        <v>551.6</v>
      </c>
      <c r="G10" s="63">
        <v>20</v>
      </c>
      <c r="H10" s="63">
        <f t="shared" si="0"/>
        <v>1022</v>
      </c>
      <c r="I10" s="64">
        <v>1.1000000000000001</v>
      </c>
      <c r="J10" s="64">
        <f t="shared" si="1"/>
        <v>1124.2</v>
      </c>
      <c r="K10" s="65"/>
      <c r="L10" s="66"/>
      <c r="M10" s="527">
        <f>J10+J11+K10+K11</f>
        <v>2048.1999999999998</v>
      </c>
      <c r="N10" s="524">
        <v>2049</v>
      </c>
    </row>
    <row r="11" spans="1:15" ht="26.15" customHeight="1">
      <c r="A11" s="520"/>
      <c r="B11" s="520"/>
      <c r="C11" s="59" t="s">
        <v>26</v>
      </c>
      <c r="D11" s="60">
        <v>135408</v>
      </c>
      <c r="E11" s="61">
        <v>244.8</v>
      </c>
      <c r="F11" s="61">
        <v>223.8</v>
      </c>
      <c r="G11" s="63">
        <v>40</v>
      </c>
      <c r="H11" s="63">
        <f t="shared" si="0"/>
        <v>840</v>
      </c>
      <c r="I11" s="64">
        <v>1.1000000000000001</v>
      </c>
      <c r="J11" s="64">
        <f t="shared" si="1"/>
        <v>924</v>
      </c>
      <c r="K11" s="65"/>
      <c r="L11" s="66"/>
      <c r="M11" s="527"/>
      <c r="N11" s="524"/>
    </row>
    <row r="12" spans="1:15" ht="26.15" customHeight="1">
      <c r="A12" s="59">
        <v>7</v>
      </c>
      <c r="B12" s="59" t="s">
        <v>27</v>
      </c>
      <c r="C12" s="59" t="s">
        <v>16</v>
      </c>
      <c r="D12" s="60">
        <v>136866</v>
      </c>
      <c r="E12" s="61">
        <v>234.8</v>
      </c>
      <c r="F12" s="61">
        <v>222.1</v>
      </c>
      <c r="G12" s="63">
        <v>20</v>
      </c>
      <c r="H12" s="63">
        <f t="shared" si="0"/>
        <v>254</v>
      </c>
      <c r="I12" s="64">
        <v>1.1000000000000001</v>
      </c>
      <c r="J12" s="64">
        <f t="shared" si="1"/>
        <v>279.39999999999998</v>
      </c>
      <c r="K12" s="65"/>
      <c r="L12" s="66"/>
      <c r="M12" s="64">
        <f>J12+K12</f>
        <v>279.39999999999998</v>
      </c>
      <c r="N12" s="73">
        <v>279.39999999999998</v>
      </c>
    </row>
    <row r="13" spans="1:15" ht="26.15" customHeight="1">
      <c r="A13" s="59">
        <v>8</v>
      </c>
      <c r="B13" s="59" t="s">
        <v>28</v>
      </c>
      <c r="C13" s="59" t="s">
        <v>16</v>
      </c>
      <c r="D13" s="72">
        <v>135847</v>
      </c>
      <c r="E13" s="61">
        <v>208.5</v>
      </c>
      <c r="F13" s="61">
        <v>197.7</v>
      </c>
      <c r="G13" s="63">
        <v>40</v>
      </c>
      <c r="H13" s="63">
        <f t="shared" si="0"/>
        <v>432</v>
      </c>
      <c r="I13" s="64">
        <v>1.1000000000000001</v>
      </c>
      <c r="J13" s="64">
        <f t="shared" si="1"/>
        <v>475.20000000000101</v>
      </c>
      <c r="K13" s="65"/>
      <c r="L13" s="66"/>
      <c r="M13" s="64">
        <f t="shared" ref="M13:M33" si="2">J13+K13</f>
        <v>475.20000000000101</v>
      </c>
      <c r="N13" s="73">
        <v>475</v>
      </c>
      <c r="O13" s="74"/>
    </row>
    <row r="14" spans="1:15" ht="26.15" customHeight="1">
      <c r="A14" s="59">
        <v>9</v>
      </c>
      <c r="B14" s="59" t="s">
        <v>29</v>
      </c>
      <c r="C14" s="59" t="s">
        <v>16</v>
      </c>
      <c r="D14" s="60">
        <v>135848</v>
      </c>
      <c r="E14" s="61">
        <v>662.5</v>
      </c>
      <c r="F14" s="61">
        <v>606.20000000000005</v>
      </c>
      <c r="G14" s="76">
        <v>40</v>
      </c>
      <c r="H14" s="63">
        <f t="shared" si="0"/>
        <v>2252</v>
      </c>
      <c r="I14" s="64">
        <v>1.1000000000000001</v>
      </c>
      <c r="J14" s="64">
        <f t="shared" si="1"/>
        <v>2477.1999999999998</v>
      </c>
      <c r="K14" s="65"/>
      <c r="L14" s="66"/>
      <c r="M14" s="64">
        <f t="shared" si="2"/>
        <v>2477.1999999999998</v>
      </c>
      <c r="N14" s="73">
        <v>2477.1999999999998</v>
      </c>
    </row>
    <row r="15" spans="1:15" ht="26.15" customHeight="1">
      <c r="A15" s="520">
        <v>10</v>
      </c>
      <c r="B15" s="520" t="s">
        <v>31</v>
      </c>
      <c r="C15" s="520" t="s">
        <v>16</v>
      </c>
      <c r="D15" s="60">
        <v>135846</v>
      </c>
      <c r="E15" s="61">
        <v>630.79999999999995</v>
      </c>
      <c r="F15" s="61">
        <v>579.9</v>
      </c>
      <c r="G15" s="76">
        <v>40</v>
      </c>
      <c r="H15" s="63">
        <f t="shared" si="0"/>
        <v>2036</v>
      </c>
      <c r="I15" s="64">
        <v>1.1000000000000001</v>
      </c>
      <c r="J15" s="64">
        <f t="shared" si="1"/>
        <v>2239.6</v>
      </c>
      <c r="K15" s="65"/>
      <c r="L15" s="66"/>
      <c r="M15" s="527">
        <f>J15+K15+J16+K16</f>
        <v>2741.2</v>
      </c>
      <c r="N15" s="524">
        <v>2741</v>
      </c>
    </row>
    <row r="16" spans="1:15" ht="26.15" customHeight="1">
      <c r="A16" s="520"/>
      <c r="B16" s="520"/>
      <c r="C16" s="520"/>
      <c r="D16" s="77">
        <v>135379</v>
      </c>
      <c r="E16" s="66">
        <v>12.1</v>
      </c>
      <c r="F16" s="66">
        <v>6.4</v>
      </c>
      <c r="G16" s="66">
        <v>80</v>
      </c>
      <c r="H16" s="66">
        <f t="shared" si="0"/>
        <v>456</v>
      </c>
      <c r="I16" s="64">
        <v>1.1000000000000001</v>
      </c>
      <c r="J16" s="64">
        <f t="shared" si="1"/>
        <v>501.6</v>
      </c>
      <c r="K16" s="65"/>
      <c r="L16" s="66"/>
      <c r="M16" s="527"/>
      <c r="N16" s="524"/>
    </row>
    <row r="17" spans="1:17" ht="26.15" customHeight="1">
      <c r="A17" s="59">
        <v>11</v>
      </c>
      <c r="B17" s="59" t="s">
        <v>32</v>
      </c>
      <c r="C17" s="59" t="s">
        <v>16</v>
      </c>
      <c r="D17" s="60">
        <v>135845</v>
      </c>
      <c r="E17" s="61">
        <v>422.2</v>
      </c>
      <c r="F17" s="61">
        <v>394.2</v>
      </c>
      <c r="G17" s="76">
        <v>40</v>
      </c>
      <c r="H17" s="63">
        <f t="shared" si="0"/>
        <v>1120</v>
      </c>
      <c r="I17" s="64">
        <v>1.1000000000000001</v>
      </c>
      <c r="J17" s="64">
        <f t="shared" si="1"/>
        <v>1232</v>
      </c>
      <c r="K17" s="65"/>
      <c r="L17" s="66"/>
      <c r="M17" s="64">
        <f t="shared" si="2"/>
        <v>1232</v>
      </c>
      <c r="N17" s="64">
        <v>1232</v>
      </c>
      <c r="O17" s="68"/>
      <c r="P17" s="73"/>
      <c r="Q17" s="8"/>
    </row>
    <row r="18" spans="1:17" ht="26.15" customHeight="1">
      <c r="A18" s="59">
        <v>12</v>
      </c>
      <c r="B18" s="59" t="s">
        <v>33</v>
      </c>
      <c r="C18" s="59" t="s">
        <v>16</v>
      </c>
      <c r="D18" s="72">
        <v>135844</v>
      </c>
      <c r="E18" s="61">
        <v>54.6</v>
      </c>
      <c r="F18" s="61">
        <v>48.4</v>
      </c>
      <c r="G18" s="80">
        <v>30</v>
      </c>
      <c r="H18" s="63">
        <f t="shared" si="0"/>
        <v>186</v>
      </c>
      <c r="I18" s="64">
        <v>1.1000000000000001</v>
      </c>
      <c r="J18" s="64">
        <f t="shared" si="1"/>
        <v>204.6</v>
      </c>
      <c r="K18" s="65"/>
      <c r="L18" s="66"/>
      <c r="M18" s="64">
        <f t="shared" si="2"/>
        <v>204.6</v>
      </c>
      <c r="N18" s="73">
        <v>204.6</v>
      </c>
    </row>
    <row r="19" spans="1:17" ht="26.15" customHeight="1">
      <c r="A19" s="59">
        <v>13</v>
      </c>
      <c r="B19" s="59" t="s">
        <v>34</v>
      </c>
      <c r="C19" s="59" t="s">
        <v>16</v>
      </c>
      <c r="D19" s="72">
        <v>135844</v>
      </c>
      <c r="E19" s="61">
        <v>66.400000000000006</v>
      </c>
      <c r="F19" s="61">
        <v>54.5</v>
      </c>
      <c r="G19" s="80">
        <v>30</v>
      </c>
      <c r="H19" s="63">
        <f t="shared" si="0"/>
        <v>357</v>
      </c>
      <c r="I19" s="64">
        <v>1.1000000000000001</v>
      </c>
      <c r="J19" s="64">
        <f t="shared" si="1"/>
        <v>392.7</v>
      </c>
      <c r="K19" s="65"/>
      <c r="L19" s="66"/>
      <c r="M19" s="64">
        <f t="shared" si="2"/>
        <v>392.7</v>
      </c>
      <c r="N19" s="73">
        <v>392</v>
      </c>
      <c r="O19" s="74"/>
    </row>
    <row r="20" spans="1:17" ht="26.15" customHeight="1">
      <c r="A20" s="59">
        <v>14</v>
      </c>
      <c r="B20" s="59" t="s">
        <v>35</v>
      </c>
      <c r="C20" s="59" t="s">
        <v>16</v>
      </c>
      <c r="D20" s="72">
        <v>135850</v>
      </c>
      <c r="E20" s="61">
        <v>197.1</v>
      </c>
      <c r="F20" s="61">
        <v>187</v>
      </c>
      <c r="G20" s="80">
        <v>30</v>
      </c>
      <c r="H20" s="63">
        <f t="shared" si="0"/>
        <v>303</v>
      </c>
      <c r="I20" s="64">
        <v>1.1000000000000001</v>
      </c>
      <c r="J20" s="64">
        <f t="shared" si="1"/>
        <v>333.3</v>
      </c>
      <c r="K20" s="65"/>
      <c r="L20" s="66"/>
      <c r="M20" s="64">
        <f t="shared" si="2"/>
        <v>333.3</v>
      </c>
      <c r="N20" s="73">
        <v>333</v>
      </c>
      <c r="O20" s="74"/>
    </row>
    <row r="21" spans="1:17" ht="26.15" customHeight="1">
      <c r="A21" s="59">
        <v>15</v>
      </c>
      <c r="B21" s="59" t="s">
        <v>36</v>
      </c>
      <c r="C21" s="59" t="s">
        <v>16</v>
      </c>
      <c r="D21" s="72">
        <v>135358</v>
      </c>
      <c r="E21" s="61">
        <v>211.7</v>
      </c>
      <c r="F21" s="61">
        <v>196.4</v>
      </c>
      <c r="G21" s="80">
        <v>40</v>
      </c>
      <c r="H21" s="63">
        <f t="shared" si="0"/>
        <v>611.99999999999898</v>
      </c>
      <c r="I21" s="64">
        <v>1.1000000000000001</v>
      </c>
      <c r="J21" s="64">
        <f t="shared" si="1"/>
        <v>673.19999999999902</v>
      </c>
      <c r="K21" s="65"/>
      <c r="L21" s="66"/>
      <c r="M21" s="64">
        <f t="shared" si="2"/>
        <v>673.19999999999902</v>
      </c>
      <c r="N21" s="73">
        <v>673.2</v>
      </c>
    </row>
    <row r="22" spans="1:17" ht="26.15" customHeight="1">
      <c r="A22" s="59">
        <v>16</v>
      </c>
      <c r="B22" s="59" t="s">
        <v>126</v>
      </c>
      <c r="C22" s="59" t="s">
        <v>16</v>
      </c>
      <c r="D22" s="72">
        <v>135380</v>
      </c>
      <c r="E22" s="61">
        <v>295.3</v>
      </c>
      <c r="F22" s="61">
        <v>275</v>
      </c>
      <c r="G22" s="80">
        <v>40</v>
      </c>
      <c r="H22" s="63">
        <f t="shared" si="0"/>
        <v>812</v>
      </c>
      <c r="I22" s="64">
        <v>1.1000000000000001</v>
      </c>
      <c r="J22" s="64">
        <f t="shared" si="1"/>
        <v>893.20000000000095</v>
      </c>
      <c r="K22" s="65"/>
      <c r="L22" s="66"/>
      <c r="M22" s="64">
        <f t="shared" si="2"/>
        <v>893.20000000000095</v>
      </c>
      <c r="N22" s="73">
        <v>893</v>
      </c>
    </row>
    <row r="23" spans="1:17" ht="26.15" customHeight="1">
      <c r="A23" s="59">
        <v>17</v>
      </c>
      <c r="B23" s="59" t="s">
        <v>38</v>
      </c>
      <c r="C23" s="59" t="s">
        <v>16</v>
      </c>
      <c r="D23" s="60">
        <v>135376</v>
      </c>
      <c r="E23" s="61">
        <v>32.299999999999997</v>
      </c>
      <c r="F23" s="61">
        <v>28.2</v>
      </c>
      <c r="G23" s="76">
        <v>40</v>
      </c>
      <c r="H23" s="63">
        <f t="shared" si="0"/>
        <v>164</v>
      </c>
      <c r="I23" s="64">
        <v>1.1000000000000001</v>
      </c>
      <c r="J23" s="64">
        <f t="shared" si="1"/>
        <v>180.4</v>
      </c>
      <c r="K23" s="65"/>
      <c r="L23" s="66"/>
      <c r="M23" s="64">
        <f t="shared" si="2"/>
        <v>180.4</v>
      </c>
      <c r="N23" s="73">
        <v>180</v>
      </c>
      <c r="O23" s="74"/>
    </row>
    <row r="24" spans="1:17" ht="26.15" customHeight="1">
      <c r="A24" s="59">
        <v>18</v>
      </c>
      <c r="B24" s="59" t="s">
        <v>39</v>
      </c>
      <c r="C24" s="59" t="s">
        <v>16</v>
      </c>
      <c r="D24" s="85" t="s">
        <v>40</v>
      </c>
      <c r="E24" s="61">
        <v>496</v>
      </c>
      <c r="F24" s="61">
        <v>430</v>
      </c>
      <c r="G24" s="76">
        <v>1</v>
      </c>
      <c r="H24" s="63">
        <f t="shared" si="0"/>
        <v>66</v>
      </c>
      <c r="I24" s="64">
        <v>1.1000000000000001</v>
      </c>
      <c r="J24" s="64">
        <f t="shared" si="1"/>
        <v>72.599999999999994</v>
      </c>
      <c r="K24" s="65"/>
      <c r="L24" s="66"/>
      <c r="M24" s="64">
        <f t="shared" si="2"/>
        <v>72.599999999999994</v>
      </c>
      <c r="N24" s="73">
        <v>72.599999999999994</v>
      </c>
    </row>
    <row r="25" spans="1:17" ht="26.15" customHeight="1">
      <c r="A25" s="59">
        <v>19</v>
      </c>
      <c r="B25" s="59" t="s">
        <v>41</v>
      </c>
      <c r="C25" s="59" t="s">
        <v>16</v>
      </c>
      <c r="D25" s="85" t="s">
        <v>42</v>
      </c>
      <c r="E25" s="61">
        <v>2099</v>
      </c>
      <c r="F25" s="61">
        <v>1755</v>
      </c>
      <c r="G25" s="76">
        <v>1</v>
      </c>
      <c r="H25" s="63">
        <f t="shared" si="0"/>
        <v>344</v>
      </c>
      <c r="I25" s="64">
        <v>1.1000000000000001</v>
      </c>
      <c r="J25" s="64">
        <f t="shared" si="1"/>
        <v>378.4</v>
      </c>
      <c r="K25" s="65"/>
      <c r="L25" s="66"/>
      <c r="M25" s="64">
        <f t="shared" si="2"/>
        <v>378.4</v>
      </c>
      <c r="N25" s="73">
        <v>378.4</v>
      </c>
    </row>
    <row r="26" spans="1:17" ht="26.15" customHeight="1">
      <c r="A26" s="59">
        <v>20</v>
      </c>
      <c r="B26" s="59" t="s">
        <v>43</v>
      </c>
      <c r="C26" s="59" t="s">
        <v>16</v>
      </c>
      <c r="D26" s="60">
        <v>281917</v>
      </c>
      <c r="E26" s="61">
        <v>56.2</v>
      </c>
      <c r="F26" s="61">
        <v>48</v>
      </c>
      <c r="G26" s="76">
        <v>100</v>
      </c>
      <c r="H26" s="63">
        <f t="shared" si="0"/>
        <v>820</v>
      </c>
      <c r="I26" s="64">
        <v>1.1000000000000001</v>
      </c>
      <c r="J26" s="64">
        <f t="shared" si="1"/>
        <v>902</v>
      </c>
      <c r="K26" s="65"/>
      <c r="L26" s="66"/>
      <c r="M26" s="64">
        <f t="shared" si="2"/>
        <v>902</v>
      </c>
      <c r="N26" s="73">
        <v>902</v>
      </c>
    </row>
    <row r="27" spans="1:17" ht="26.15" customHeight="1">
      <c r="A27" s="59">
        <v>21</v>
      </c>
      <c r="B27" s="59" t="s">
        <v>44</v>
      </c>
      <c r="C27" s="59" t="s">
        <v>16</v>
      </c>
      <c r="D27" s="60">
        <v>136865</v>
      </c>
      <c r="E27" s="61">
        <v>308.60000000000002</v>
      </c>
      <c r="F27" s="61">
        <v>281</v>
      </c>
      <c r="G27" s="76">
        <v>20</v>
      </c>
      <c r="H27" s="63">
        <f t="shared" si="0"/>
        <v>552</v>
      </c>
      <c r="I27" s="64">
        <v>1.1000000000000001</v>
      </c>
      <c r="J27" s="64">
        <f t="shared" si="1"/>
        <v>607.20000000000095</v>
      </c>
      <c r="K27" s="65"/>
      <c r="L27" s="66"/>
      <c r="M27" s="64">
        <f t="shared" si="2"/>
        <v>607.20000000000095</v>
      </c>
      <c r="N27" s="73">
        <v>607.20000000000005</v>
      </c>
    </row>
    <row r="28" spans="1:17" ht="26.15" customHeight="1">
      <c r="A28" s="59">
        <v>22</v>
      </c>
      <c r="B28" s="59" t="s">
        <v>46</v>
      </c>
      <c r="C28" s="59" t="s">
        <v>16</v>
      </c>
      <c r="D28" s="60">
        <v>121780</v>
      </c>
      <c r="E28" s="61">
        <v>62</v>
      </c>
      <c r="F28" s="61">
        <v>50.5</v>
      </c>
      <c r="G28" s="76">
        <v>20</v>
      </c>
      <c r="H28" s="63">
        <f t="shared" si="0"/>
        <v>230</v>
      </c>
      <c r="I28" s="64">
        <v>1.1000000000000001</v>
      </c>
      <c r="J28" s="64">
        <f t="shared" si="1"/>
        <v>253</v>
      </c>
      <c r="K28" s="65"/>
      <c r="L28" s="66"/>
      <c r="M28" s="64">
        <f t="shared" si="2"/>
        <v>253</v>
      </c>
      <c r="N28" s="73">
        <v>253</v>
      </c>
      <c r="O28" s="74"/>
    </row>
    <row r="29" spans="1:17" ht="26.15" customHeight="1">
      <c r="A29" s="59">
        <v>23</v>
      </c>
      <c r="B29" s="59" t="s">
        <v>47</v>
      </c>
      <c r="C29" s="59" t="s">
        <v>16</v>
      </c>
      <c r="D29" s="60">
        <v>135940</v>
      </c>
      <c r="E29" s="61">
        <v>41</v>
      </c>
      <c r="F29" s="61">
        <v>37.5</v>
      </c>
      <c r="G29" s="76">
        <v>30</v>
      </c>
      <c r="H29" s="63">
        <f t="shared" si="0"/>
        <v>105</v>
      </c>
      <c r="I29" s="64">
        <v>1.1000000000000001</v>
      </c>
      <c r="J29" s="64">
        <f t="shared" si="1"/>
        <v>115.5</v>
      </c>
      <c r="K29" s="65"/>
      <c r="L29" s="66"/>
      <c r="M29" s="64">
        <f t="shared" si="2"/>
        <v>115.5</v>
      </c>
      <c r="N29" s="73">
        <v>16</v>
      </c>
    </row>
    <row r="30" spans="1:17" ht="26.15" customHeight="1">
      <c r="A30" s="59">
        <v>24</v>
      </c>
      <c r="B30" s="59" t="s">
        <v>48</v>
      </c>
      <c r="C30" s="59" t="s">
        <v>16</v>
      </c>
      <c r="D30" s="85">
        <v>121780</v>
      </c>
      <c r="E30" s="63">
        <v>2772.3</v>
      </c>
      <c r="F30" s="63">
        <v>2536.6999999999998</v>
      </c>
      <c r="G30" s="63">
        <v>30</v>
      </c>
      <c r="H30" s="63">
        <f t="shared" si="0"/>
        <v>7068.00000000001</v>
      </c>
      <c r="I30" s="64">
        <v>1.1000000000000001</v>
      </c>
      <c r="J30" s="64">
        <f t="shared" si="1"/>
        <v>7774.8000000000102</v>
      </c>
      <c r="K30" s="66">
        <v>-7774.8</v>
      </c>
      <c r="L30" s="66"/>
      <c r="M30" s="64">
        <f t="shared" si="2"/>
        <v>1.0004441719502199E-11</v>
      </c>
      <c r="N30" s="67"/>
    </row>
    <row r="31" spans="1:17" ht="26.15" customHeight="1">
      <c r="A31" s="59">
        <v>25</v>
      </c>
      <c r="B31" s="59" t="s">
        <v>49</v>
      </c>
      <c r="C31" s="59" t="s">
        <v>16</v>
      </c>
      <c r="D31" s="77">
        <v>134768</v>
      </c>
      <c r="E31" s="63">
        <v>691.1</v>
      </c>
      <c r="F31" s="63">
        <v>539.6</v>
      </c>
      <c r="G31" s="63">
        <v>80</v>
      </c>
      <c r="H31" s="63">
        <f t="shared" si="0"/>
        <v>12120</v>
      </c>
      <c r="I31" s="64">
        <v>1.1000000000000001</v>
      </c>
      <c r="J31" s="64">
        <f t="shared" si="1"/>
        <v>13332</v>
      </c>
      <c r="K31" s="65"/>
      <c r="L31" s="66"/>
      <c r="M31" s="64">
        <f t="shared" si="2"/>
        <v>13332</v>
      </c>
      <c r="N31" s="67">
        <v>13332</v>
      </c>
    </row>
    <row r="32" spans="1:17" ht="26.15" customHeight="1">
      <c r="A32" s="59">
        <v>26</v>
      </c>
      <c r="B32" s="59" t="s">
        <v>111</v>
      </c>
      <c r="C32" s="59" t="s">
        <v>16</v>
      </c>
      <c r="D32" s="77">
        <v>135939</v>
      </c>
      <c r="E32" s="63">
        <v>32.4</v>
      </c>
      <c r="F32" s="63">
        <v>5.2</v>
      </c>
      <c r="G32" s="63">
        <v>80</v>
      </c>
      <c r="H32" s="63">
        <f t="shared" si="0"/>
        <v>2176</v>
      </c>
      <c r="I32" s="64">
        <v>1.1000000000000001</v>
      </c>
      <c r="J32" s="64">
        <f t="shared" si="1"/>
        <v>2393.6</v>
      </c>
      <c r="K32" s="65"/>
      <c r="L32" s="66"/>
      <c r="M32" s="64">
        <f t="shared" si="2"/>
        <v>2393.6</v>
      </c>
      <c r="N32" s="67">
        <v>2393.6</v>
      </c>
    </row>
    <row r="33" spans="1:15" ht="26.15" customHeight="1">
      <c r="A33" s="66">
        <v>27</v>
      </c>
      <c r="B33" s="59" t="s">
        <v>127</v>
      </c>
      <c r="C33" s="66" t="s">
        <v>16</v>
      </c>
      <c r="D33" s="66" t="s">
        <v>128</v>
      </c>
      <c r="E33" s="66">
        <v>1109</v>
      </c>
      <c r="F33" s="66">
        <v>256</v>
      </c>
      <c r="G33" s="66">
        <v>1</v>
      </c>
      <c r="H33" s="66">
        <f t="shared" si="0"/>
        <v>853</v>
      </c>
      <c r="I33" s="64">
        <v>1.1000000000000001</v>
      </c>
      <c r="J33" s="64">
        <f t="shared" si="1"/>
        <v>938.3</v>
      </c>
      <c r="K33" s="66"/>
      <c r="L33" s="66"/>
      <c r="M33" s="64">
        <f t="shared" si="2"/>
        <v>938.3</v>
      </c>
      <c r="N33" s="67">
        <v>938</v>
      </c>
    </row>
    <row r="34" spans="1:15" ht="26.15" customHeight="1">
      <c r="A34" s="530" t="s">
        <v>51</v>
      </c>
      <c r="B34" s="530"/>
      <c r="C34" s="520"/>
      <c r="D34" s="520"/>
      <c r="E34" s="520"/>
      <c r="F34" s="520"/>
      <c r="G34" s="520"/>
      <c r="H34" s="520"/>
      <c r="I34" s="520"/>
      <c r="J34" s="161">
        <f>SUM(J3:J32)</f>
        <v>48331.8</v>
      </c>
      <c r="K34" s="520"/>
      <c r="L34" s="520"/>
      <c r="M34" s="64">
        <f>SUM(M3:M33)</f>
        <v>41495.300000000003</v>
      </c>
      <c r="N34" s="64">
        <f>SUM(N3:N33)</f>
        <v>41393.199999999997</v>
      </c>
      <c r="O34" s="68">
        <f>M34-M30</f>
        <v>41495.300000000003</v>
      </c>
    </row>
    <row r="35" spans="1:15" ht="26.15" customHeight="1">
      <c r="A35" s="530" t="s">
        <v>112</v>
      </c>
      <c r="B35" s="53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73">
        <v>-1815</v>
      </c>
    </row>
    <row r="36" spans="1:15" ht="26.15" customHeight="1">
      <c r="A36" s="520" t="s">
        <v>117</v>
      </c>
      <c r="B36" s="520"/>
      <c r="C36" s="530" t="s">
        <v>129</v>
      </c>
      <c r="D36" s="530"/>
      <c r="E36" s="530"/>
      <c r="F36" s="530"/>
      <c r="G36" s="530"/>
      <c r="H36" s="530"/>
      <c r="I36" s="530"/>
      <c r="J36" s="530"/>
      <c r="K36" s="530"/>
      <c r="L36" s="530"/>
      <c r="M36" s="530"/>
      <c r="N36" s="73">
        <v>-6080</v>
      </c>
    </row>
    <row r="37" spans="1:15" ht="26.15" customHeight="1">
      <c r="A37" s="520"/>
      <c r="B37" s="520"/>
      <c r="C37" s="530" t="s">
        <v>130</v>
      </c>
      <c r="D37" s="530"/>
      <c r="E37" s="530"/>
      <c r="F37" s="530"/>
      <c r="G37" s="530"/>
      <c r="H37" s="530"/>
      <c r="I37" s="530"/>
      <c r="J37" s="530"/>
      <c r="K37" s="530"/>
      <c r="L37" s="530"/>
      <c r="M37" s="530"/>
      <c r="N37" s="73">
        <f>-104.9-65.9-83.9</f>
        <v>-254.7</v>
      </c>
    </row>
    <row r="38" spans="1:15" ht="26.15" customHeight="1">
      <c r="A38" s="520"/>
      <c r="B38" s="520"/>
      <c r="C38" s="530" t="s">
        <v>131</v>
      </c>
      <c r="D38" s="530"/>
      <c r="E38" s="530"/>
      <c r="F38" s="530"/>
      <c r="G38" s="530"/>
      <c r="H38" s="530"/>
      <c r="I38" s="530"/>
      <c r="J38" s="530"/>
      <c r="K38" s="530"/>
      <c r="L38" s="530"/>
      <c r="M38" s="530"/>
      <c r="N38" s="73">
        <v>-24324.87</v>
      </c>
    </row>
    <row r="39" spans="1:15" ht="26.15" customHeight="1">
      <c r="A39" s="520"/>
      <c r="B39" s="520"/>
      <c r="C39" s="530" t="s">
        <v>132</v>
      </c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73">
        <v>-1733</v>
      </c>
    </row>
    <row r="40" spans="1:15" ht="26.15" customHeight="1">
      <c r="A40" s="520"/>
      <c r="B40" s="520"/>
      <c r="C40" s="530" t="s">
        <v>133</v>
      </c>
      <c r="D40" s="530"/>
      <c r="E40" s="530"/>
      <c r="F40" s="530"/>
      <c r="G40" s="530"/>
      <c r="H40" s="530"/>
      <c r="I40" s="530"/>
      <c r="J40" s="530"/>
      <c r="K40" s="530"/>
      <c r="L40" s="530"/>
      <c r="M40" s="530"/>
      <c r="N40" s="73">
        <v>-700</v>
      </c>
    </row>
    <row r="41" spans="1:15" ht="26.15" customHeight="1">
      <c r="A41" s="520"/>
      <c r="B41" s="520"/>
      <c r="C41" s="530" t="s">
        <v>134</v>
      </c>
      <c r="D41" s="530"/>
      <c r="E41" s="530"/>
      <c r="F41" s="530"/>
      <c r="G41" s="530"/>
      <c r="H41" s="530"/>
      <c r="I41" s="530"/>
      <c r="J41" s="530"/>
      <c r="K41" s="530"/>
      <c r="L41" s="530"/>
      <c r="M41" s="530"/>
      <c r="N41" s="73">
        <v>-70</v>
      </c>
    </row>
    <row r="42" spans="1:15" ht="26.15" customHeight="1">
      <c r="A42" s="520"/>
      <c r="B42" s="520"/>
      <c r="C42" s="530" t="s">
        <v>135</v>
      </c>
      <c r="D42" s="530"/>
      <c r="E42" s="530"/>
      <c r="F42" s="530"/>
      <c r="G42" s="530"/>
      <c r="H42" s="530"/>
      <c r="I42" s="530"/>
      <c r="J42" s="530"/>
      <c r="K42" s="530"/>
      <c r="L42" s="530"/>
      <c r="M42" s="530"/>
      <c r="N42" s="73">
        <v>-260</v>
      </c>
    </row>
    <row r="43" spans="1:15" ht="26.15" customHeight="1">
      <c r="A43" s="520"/>
      <c r="B43" s="520"/>
      <c r="C43" s="550" t="s">
        <v>136</v>
      </c>
      <c r="D43" s="530"/>
      <c r="E43" s="530"/>
      <c r="F43" s="530"/>
      <c r="G43" s="530"/>
      <c r="H43" s="530"/>
      <c r="I43" s="530"/>
      <c r="J43" s="530"/>
      <c r="K43" s="530"/>
      <c r="L43" s="530"/>
      <c r="M43" s="530"/>
      <c r="N43" s="73">
        <v>-360</v>
      </c>
    </row>
    <row r="44" spans="1:15" ht="26.15" customHeight="1">
      <c r="A44" s="520"/>
      <c r="B44" s="520"/>
      <c r="C44" s="530" t="s">
        <v>137</v>
      </c>
      <c r="D44" s="530"/>
      <c r="E44" s="530"/>
      <c r="F44" s="530"/>
      <c r="G44" s="530"/>
      <c r="H44" s="530"/>
      <c r="I44" s="530"/>
      <c r="J44" s="530"/>
      <c r="K44" s="530"/>
      <c r="L44" s="530"/>
      <c r="M44" s="530"/>
      <c r="N44" s="73">
        <v>-100</v>
      </c>
    </row>
    <row r="45" spans="1:15" ht="26.15" customHeight="1">
      <c r="A45" s="520"/>
      <c r="B45" s="520"/>
      <c r="C45" s="530" t="s">
        <v>138</v>
      </c>
      <c r="D45" s="530"/>
      <c r="E45" s="530"/>
      <c r="F45" s="530"/>
      <c r="G45" s="530"/>
      <c r="H45" s="530"/>
      <c r="I45" s="530"/>
      <c r="J45" s="530"/>
      <c r="K45" s="530"/>
      <c r="L45" s="530"/>
      <c r="M45" s="530"/>
      <c r="N45" s="73">
        <v>-5000</v>
      </c>
    </row>
    <row r="46" spans="1:15" ht="26.15" customHeight="1">
      <c r="A46" s="520"/>
      <c r="B46" s="520"/>
      <c r="C46" s="530" t="s">
        <v>139</v>
      </c>
      <c r="D46" s="530"/>
      <c r="E46" s="530"/>
      <c r="F46" s="530"/>
      <c r="G46" s="530"/>
      <c r="H46" s="530"/>
      <c r="I46" s="530"/>
      <c r="J46" s="530"/>
      <c r="K46" s="530"/>
      <c r="L46" s="530"/>
      <c r="M46" s="530"/>
      <c r="N46" s="73">
        <v>-4490</v>
      </c>
    </row>
    <row r="47" spans="1:15" s="8" customFormat="1" ht="26.15" customHeight="1">
      <c r="A47" s="530" t="s">
        <v>140</v>
      </c>
      <c r="B47" s="530"/>
      <c r="C47" s="530"/>
      <c r="D47" s="530"/>
      <c r="E47" s="530"/>
      <c r="F47" s="530"/>
      <c r="G47" s="530"/>
      <c r="H47" s="530"/>
      <c r="I47" s="530"/>
      <c r="J47" s="530"/>
      <c r="K47" s="530"/>
      <c r="L47" s="530"/>
      <c r="M47" s="530"/>
      <c r="N47" s="161">
        <f>N34+SUM(N35:N46)</f>
        <v>-3794.3700000000026</v>
      </c>
      <c r="O47" s="9"/>
    </row>
    <row r="48" spans="1:15" s="8" customFormat="1" ht="26.15" customHeight="1">
      <c r="A48" s="10"/>
      <c r="B48" s="10"/>
      <c r="C48" s="10"/>
      <c r="D48" s="35"/>
      <c r="E48" s="12"/>
      <c r="F48" s="12"/>
      <c r="G48" s="12"/>
      <c r="H48" s="12"/>
      <c r="I48" s="9"/>
      <c r="J48" s="9"/>
      <c r="K48" s="9"/>
      <c r="L48" s="9"/>
      <c r="M48" s="12"/>
      <c r="N48" s="8">
        <v>-4864</v>
      </c>
      <c r="O48" s="9"/>
    </row>
    <row r="49" spans="1:15" s="8" customFormat="1" ht="26.15" customHeight="1">
      <c r="A49" s="10"/>
      <c r="B49" s="10"/>
      <c r="C49" s="10"/>
      <c r="D49" s="35"/>
      <c r="E49" s="12"/>
      <c r="F49" s="12"/>
      <c r="G49" s="12"/>
      <c r="H49" s="12"/>
      <c r="I49" s="9"/>
      <c r="J49" s="9"/>
      <c r="K49" s="9"/>
      <c r="L49" s="9"/>
      <c r="M49" s="12"/>
      <c r="O49" s="9"/>
    </row>
    <row r="50" spans="1:15" s="8" customFormat="1" ht="26.15" customHeight="1">
      <c r="A50" s="10"/>
      <c r="B50" s="10"/>
      <c r="C50" s="10"/>
      <c r="D50" s="35"/>
      <c r="E50" s="12"/>
      <c r="F50" s="12"/>
      <c r="G50" s="12"/>
      <c r="H50" s="12"/>
      <c r="I50" s="9"/>
      <c r="J50" s="9"/>
      <c r="K50" s="9"/>
      <c r="L50" s="9"/>
      <c r="M50" s="12"/>
      <c r="O50" s="9"/>
    </row>
    <row r="51" spans="1:15" s="8" customFormat="1" ht="26.15" customHeight="1">
      <c r="A51" s="10"/>
      <c r="B51" s="10"/>
      <c r="C51" s="10"/>
      <c r="D51" s="35"/>
      <c r="E51" s="12"/>
      <c r="F51" s="12"/>
      <c r="G51" s="12"/>
      <c r="H51" s="12"/>
      <c r="I51" s="9"/>
      <c r="J51" s="9"/>
      <c r="K51" s="9"/>
      <c r="L51" s="9"/>
      <c r="M51" s="12"/>
      <c r="O51" s="9"/>
    </row>
    <row r="52" spans="1:15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12"/>
      <c r="O52" s="9"/>
    </row>
    <row r="53" spans="1:15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12"/>
      <c r="O53" s="9"/>
    </row>
    <row r="54" spans="1:15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12"/>
      <c r="O54" s="9"/>
    </row>
    <row r="55" spans="1:15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12"/>
      <c r="O55" s="9"/>
    </row>
    <row r="56" spans="1:15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12"/>
      <c r="O56" s="9"/>
    </row>
    <row r="57" spans="1:15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12"/>
      <c r="O57" s="9"/>
    </row>
    <row r="58" spans="1:15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12"/>
      <c r="O58" s="9"/>
    </row>
    <row r="59" spans="1:15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12"/>
      <c r="O59" s="9"/>
    </row>
    <row r="60" spans="1:15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12"/>
      <c r="O60" s="9"/>
    </row>
    <row r="61" spans="1:15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12"/>
      <c r="O61" s="9"/>
    </row>
    <row r="62" spans="1:15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12"/>
      <c r="O62" s="9"/>
    </row>
    <row r="63" spans="1:15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12"/>
      <c r="O63" s="9"/>
    </row>
    <row r="64" spans="1:15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12"/>
      <c r="O64" s="9"/>
    </row>
    <row r="65" spans="1:15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12"/>
      <c r="O65" s="9"/>
    </row>
    <row r="66" spans="1:15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12"/>
      <c r="O66" s="9"/>
    </row>
    <row r="67" spans="1:15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12"/>
      <c r="O67" s="9"/>
    </row>
    <row r="68" spans="1:15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12"/>
      <c r="O68" s="9"/>
    </row>
    <row r="69" spans="1:15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12"/>
      <c r="O69" s="9"/>
    </row>
    <row r="70" spans="1:15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12"/>
      <c r="O70" s="9"/>
    </row>
    <row r="71" spans="1:15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12"/>
      <c r="O71" s="9"/>
    </row>
    <row r="72" spans="1:15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12"/>
      <c r="O72" s="9"/>
    </row>
    <row r="73" spans="1:15" s="8" customFormat="1" ht="26.15" customHeight="1">
      <c r="A73" s="10"/>
      <c r="B73" s="10"/>
      <c r="C73" s="10"/>
      <c r="D73" s="35"/>
      <c r="E73" s="12"/>
      <c r="F73" s="12"/>
      <c r="G73" s="12"/>
      <c r="H73" s="12"/>
      <c r="I73" s="9"/>
      <c r="J73" s="9"/>
      <c r="K73" s="9"/>
      <c r="L73" s="9"/>
      <c r="M73" s="12"/>
      <c r="O73" s="9"/>
    </row>
    <row r="74" spans="1:15" s="8" customFormat="1" ht="26.15" customHeight="1">
      <c r="A74" s="10"/>
      <c r="B74" s="10"/>
      <c r="C74" s="10"/>
      <c r="D74" s="35"/>
      <c r="E74" s="12"/>
      <c r="F74" s="12"/>
      <c r="G74" s="12"/>
      <c r="H74" s="12"/>
      <c r="I74" s="9"/>
      <c r="J74" s="9"/>
      <c r="K74" s="9"/>
      <c r="L74" s="9"/>
      <c r="M74" s="12"/>
      <c r="O74" s="9"/>
    </row>
    <row r="75" spans="1:15" s="8" customFormat="1" ht="26.15" customHeight="1">
      <c r="A75" s="10"/>
      <c r="B75" s="10"/>
      <c r="C75" s="10"/>
      <c r="D75" s="35"/>
      <c r="E75" s="12"/>
      <c r="F75" s="12"/>
      <c r="G75" s="12"/>
      <c r="H75" s="12"/>
      <c r="I75" s="9"/>
      <c r="J75" s="9"/>
      <c r="K75" s="9"/>
      <c r="L75" s="9"/>
      <c r="M75" s="12"/>
      <c r="O75" s="9"/>
    </row>
    <row r="76" spans="1:15" s="8" customFormat="1" ht="26.15" customHeight="1">
      <c r="A76" s="10"/>
      <c r="B76" s="10"/>
      <c r="C76" s="10"/>
      <c r="D76" s="35"/>
      <c r="E76" s="12"/>
      <c r="F76" s="12"/>
      <c r="G76" s="12"/>
      <c r="H76" s="12"/>
      <c r="I76" s="9"/>
      <c r="J76" s="9"/>
      <c r="K76" s="9"/>
      <c r="L76" s="9"/>
      <c r="M76" s="12"/>
      <c r="O76" s="9"/>
    </row>
    <row r="77" spans="1:15" s="8" customFormat="1" ht="26.15" customHeight="1">
      <c r="A77" s="10"/>
      <c r="B77" s="10"/>
      <c r="C77" s="10"/>
      <c r="D77" s="35"/>
      <c r="E77" s="12"/>
      <c r="F77" s="12"/>
      <c r="G77" s="12"/>
      <c r="H77" s="12"/>
      <c r="I77" s="9"/>
      <c r="J77" s="9"/>
      <c r="K77" s="9"/>
      <c r="L77" s="9"/>
      <c r="M77" s="12"/>
      <c r="O77" s="9"/>
    </row>
    <row r="78" spans="1:15" s="8" customFormat="1" ht="26.15" customHeight="1">
      <c r="A78" s="10"/>
      <c r="B78" s="10"/>
      <c r="C78" s="10"/>
      <c r="D78" s="35"/>
      <c r="E78" s="12"/>
      <c r="F78" s="12"/>
      <c r="G78" s="12"/>
      <c r="H78" s="12"/>
      <c r="I78" s="9"/>
      <c r="J78" s="9"/>
      <c r="K78" s="9"/>
      <c r="L78" s="9"/>
      <c r="M78" s="12"/>
      <c r="O78" s="9"/>
    </row>
    <row r="79" spans="1:15" s="8" customFormat="1" ht="26.15" customHeight="1">
      <c r="A79" s="10"/>
      <c r="B79" s="10"/>
      <c r="C79" s="10"/>
      <c r="D79" s="35"/>
      <c r="E79" s="12"/>
      <c r="F79" s="12"/>
      <c r="G79" s="12"/>
      <c r="H79" s="12"/>
      <c r="I79" s="9"/>
      <c r="J79" s="9"/>
      <c r="K79" s="9"/>
      <c r="L79" s="9"/>
      <c r="M79" s="12"/>
      <c r="O79" s="9"/>
    </row>
  </sheetData>
  <mergeCells count="36">
    <mergeCell ref="A1:M1"/>
    <mergeCell ref="A34:B34"/>
    <mergeCell ref="C34:I34"/>
    <mergeCell ref="K34:L34"/>
    <mergeCell ref="A35:B35"/>
    <mergeCell ref="C35:M35"/>
    <mergeCell ref="A47:M47"/>
    <mergeCell ref="A3:A4"/>
    <mergeCell ref="A6:A7"/>
    <mergeCell ref="A10:A11"/>
    <mergeCell ref="A15:A16"/>
    <mergeCell ref="B3:B4"/>
    <mergeCell ref="B6:B7"/>
    <mergeCell ref="B10:B11"/>
    <mergeCell ref="B15:B16"/>
    <mergeCell ref="C15:C16"/>
    <mergeCell ref="M3:M4"/>
    <mergeCell ref="M6:M7"/>
    <mergeCell ref="M10:M11"/>
    <mergeCell ref="M15:M16"/>
    <mergeCell ref="C41:M41"/>
    <mergeCell ref="C42:M42"/>
    <mergeCell ref="N3:N4"/>
    <mergeCell ref="N6:N7"/>
    <mergeCell ref="N10:N11"/>
    <mergeCell ref="N15:N16"/>
    <mergeCell ref="A36:B46"/>
    <mergeCell ref="C46:M46"/>
    <mergeCell ref="C43:M43"/>
    <mergeCell ref="C44:M44"/>
    <mergeCell ref="C45:M45"/>
    <mergeCell ref="C36:M36"/>
    <mergeCell ref="C37:M37"/>
    <mergeCell ref="C38:M38"/>
    <mergeCell ref="C39:M39"/>
    <mergeCell ref="C40:M40"/>
  </mergeCells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8"/>
  <sheetViews>
    <sheetView workbookViewId="0">
      <pane xSplit="13" ySplit="1" topLeftCell="N29" activePane="bottomRight" state="frozen"/>
      <selection pane="topRight"/>
      <selection pane="bottomLeft"/>
      <selection pane="bottomRight" activeCell="N47" sqref="N47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9.33203125" style="9" customWidth="1"/>
    <col min="10" max="10" width="12" style="9" customWidth="1"/>
    <col min="11" max="11" width="9.08203125" style="9" customWidth="1"/>
    <col min="12" max="12" width="8.5" style="9" customWidth="1"/>
    <col min="13" max="13" width="11.9140625" style="12" customWidth="1"/>
    <col min="14" max="14" width="12.6640625" style="8" customWidth="1"/>
    <col min="15" max="15" width="11.5" style="9" customWidth="1"/>
    <col min="16" max="17" width="10.25" style="9" customWidth="1"/>
    <col min="18" max="16384" width="8.6640625" style="9"/>
  </cols>
  <sheetData>
    <row r="1" spans="1:15" ht="40" customHeight="1">
      <c r="A1" s="576" t="s">
        <v>141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37"/>
    </row>
    <row r="2" spans="1:15" s="10" customFormat="1" ht="26.15" customHeight="1">
      <c r="A2" s="38" t="s">
        <v>1</v>
      </c>
      <c r="B2" s="39" t="s">
        <v>2</v>
      </c>
      <c r="C2" s="39" t="s">
        <v>3</v>
      </c>
      <c r="D2" s="40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105</v>
      </c>
      <c r="J2" s="39" t="s">
        <v>10</v>
      </c>
      <c r="K2" s="39" t="s">
        <v>11</v>
      </c>
      <c r="L2" s="39" t="s">
        <v>12</v>
      </c>
      <c r="M2" s="39" t="s">
        <v>13</v>
      </c>
      <c r="N2" s="41" t="s">
        <v>14</v>
      </c>
    </row>
    <row r="3" spans="1:15" s="34" customFormat="1" ht="26.15" customHeight="1">
      <c r="A3" s="563">
        <f>ROW()-2</f>
        <v>1</v>
      </c>
      <c r="B3" s="568" t="s">
        <v>15</v>
      </c>
      <c r="C3" s="98" t="s">
        <v>16</v>
      </c>
      <c r="D3" s="99">
        <v>135407</v>
      </c>
      <c r="E3" s="100">
        <v>1253.5</v>
      </c>
      <c r="F3" s="100">
        <v>1189.3</v>
      </c>
      <c r="G3" s="101">
        <v>60</v>
      </c>
      <c r="H3" s="101">
        <f t="shared" ref="H3:H33" si="0">(E3-F3)*G3</f>
        <v>3852</v>
      </c>
      <c r="I3" s="102">
        <v>1.1000000000000001</v>
      </c>
      <c r="J3" s="102">
        <f t="shared" ref="J3:J33" si="1">H3*I3</f>
        <v>4237.2</v>
      </c>
      <c r="K3" s="103"/>
      <c r="L3" s="104"/>
      <c r="M3" s="572">
        <f>J3+J4+K3+K4</f>
        <v>4877.3999999999996</v>
      </c>
      <c r="N3" s="551">
        <v>4877.3999999999996</v>
      </c>
    </row>
    <row r="4" spans="1:15" s="34" customFormat="1" ht="26.15" customHeight="1">
      <c r="A4" s="564"/>
      <c r="B4" s="569"/>
      <c r="C4" s="107" t="s">
        <v>17</v>
      </c>
      <c r="D4" s="108">
        <v>222933</v>
      </c>
      <c r="E4" s="109">
        <v>9827</v>
      </c>
      <c r="F4" s="109">
        <v>9245</v>
      </c>
      <c r="G4" s="109">
        <v>1</v>
      </c>
      <c r="H4" s="110">
        <f t="shared" si="0"/>
        <v>582</v>
      </c>
      <c r="I4" s="111">
        <v>1.1000000000000001</v>
      </c>
      <c r="J4" s="111">
        <f t="shared" si="1"/>
        <v>640.20000000000005</v>
      </c>
      <c r="K4" s="112"/>
      <c r="L4" s="113"/>
      <c r="M4" s="573"/>
      <c r="N4" s="552"/>
    </row>
    <row r="5" spans="1:15" ht="26.15" customHeight="1">
      <c r="A5" s="115">
        <v>2</v>
      </c>
      <c r="B5" s="116" t="s">
        <v>18</v>
      </c>
      <c r="C5" s="117" t="s">
        <v>16</v>
      </c>
      <c r="D5" s="118">
        <v>135406</v>
      </c>
      <c r="E5" s="119">
        <v>517.5</v>
      </c>
      <c r="F5" s="119">
        <v>491.4</v>
      </c>
      <c r="G5" s="120">
        <v>40</v>
      </c>
      <c r="H5" s="120">
        <f t="shared" si="0"/>
        <v>1044</v>
      </c>
      <c r="I5" s="121">
        <v>1.1000000000000001</v>
      </c>
      <c r="J5" s="121">
        <f t="shared" si="1"/>
        <v>1148.4000000000001</v>
      </c>
      <c r="K5" s="122"/>
      <c r="L5" s="123"/>
      <c r="M5" s="121">
        <f>J5+K5</f>
        <v>1148.4000000000001</v>
      </c>
      <c r="N5" s="125">
        <v>1148</v>
      </c>
      <c r="O5" s="68"/>
    </row>
    <row r="6" spans="1:15" s="34" customFormat="1" ht="26.15" customHeight="1">
      <c r="A6" s="565">
        <v>3</v>
      </c>
      <c r="B6" s="569" t="s">
        <v>20</v>
      </c>
      <c r="C6" s="107" t="s">
        <v>16</v>
      </c>
      <c r="D6" s="108">
        <v>135400</v>
      </c>
      <c r="E6" s="109">
        <v>13.8</v>
      </c>
      <c r="F6" s="109">
        <v>13.3</v>
      </c>
      <c r="G6" s="110">
        <v>40</v>
      </c>
      <c r="H6" s="110">
        <f t="shared" si="0"/>
        <v>20</v>
      </c>
      <c r="I6" s="111">
        <v>1.1000000000000001</v>
      </c>
      <c r="J6" s="111">
        <f t="shared" si="1"/>
        <v>22</v>
      </c>
      <c r="K6" s="112"/>
      <c r="L6" s="113"/>
      <c r="M6" s="572">
        <f>J6+J7+K6+K7</f>
        <v>85.8</v>
      </c>
      <c r="N6" s="552">
        <v>85.8</v>
      </c>
    </row>
    <row r="7" spans="1:15" s="34" customFormat="1" ht="26.15" customHeight="1">
      <c r="A7" s="564"/>
      <c r="B7" s="569"/>
      <c r="C7" s="107" t="s">
        <v>17</v>
      </c>
      <c r="D7" s="127" t="s">
        <v>21</v>
      </c>
      <c r="E7" s="110">
        <v>725</v>
      </c>
      <c r="F7" s="110">
        <v>667</v>
      </c>
      <c r="G7" s="110">
        <v>1</v>
      </c>
      <c r="H7" s="110">
        <f t="shared" si="0"/>
        <v>58</v>
      </c>
      <c r="I7" s="111">
        <v>1.1000000000000001</v>
      </c>
      <c r="J7" s="111">
        <f t="shared" si="1"/>
        <v>63.8</v>
      </c>
      <c r="K7" s="112"/>
      <c r="L7" s="113"/>
      <c r="M7" s="573"/>
      <c r="N7" s="552"/>
    </row>
    <row r="8" spans="1:15" ht="26.15" customHeight="1">
      <c r="A8" s="115">
        <v>4</v>
      </c>
      <c r="B8" s="116" t="s">
        <v>22</v>
      </c>
      <c r="C8" s="117" t="s">
        <v>16</v>
      </c>
      <c r="D8" s="118">
        <v>135405</v>
      </c>
      <c r="E8" s="119">
        <v>417.2</v>
      </c>
      <c r="F8" s="119">
        <v>388.8</v>
      </c>
      <c r="G8" s="120">
        <v>40</v>
      </c>
      <c r="H8" s="120">
        <f t="shared" si="0"/>
        <v>1136</v>
      </c>
      <c r="I8" s="121">
        <v>1.1000000000000001</v>
      </c>
      <c r="J8" s="121">
        <f t="shared" si="1"/>
        <v>1249.5999999999999</v>
      </c>
      <c r="K8" s="122"/>
      <c r="L8" s="123"/>
      <c r="M8" s="121">
        <f>J8+K8</f>
        <v>1249.5999999999999</v>
      </c>
      <c r="N8" s="93">
        <v>1249</v>
      </c>
      <c r="O8" s="68"/>
    </row>
    <row r="9" spans="1:15" s="34" customFormat="1" ht="26.15" customHeight="1">
      <c r="A9" s="126">
        <v>5</v>
      </c>
      <c r="B9" s="106" t="s">
        <v>23</v>
      </c>
      <c r="C9" s="107" t="s">
        <v>16</v>
      </c>
      <c r="D9" s="108">
        <v>135401</v>
      </c>
      <c r="E9" s="109">
        <v>78.400000000000006</v>
      </c>
      <c r="F9" s="109">
        <v>73.900000000000006</v>
      </c>
      <c r="G9" s="110">
        <v>20</v>
      </c>
      <c r="H9" s="110">
        <f t="shared" si="0"/>
        <v>90</v>
      </c>
      <c r="I9" s="111">
        <v>1.1000000000000001</v>
      </c>
      <c r="J9" s="111">
        <f t="shared" si="1"/>
        <v>99</v>
      </c>
      <c r="K9" s="112"/>
      <c r="L9" s="113"/>
      <c r="M9" s="111">
        <f>J9+K9</f>
        <v>99</v>
      </c>
      <c r="N9" s="128">
        <v>99</v>
      </c>
    </row>
    <row r="10" spans="1:15" ht="26.15" customHeight="1">
      <c r="A10" s="566">
        <v>6</v>
      </c>
      <c r="B10" s="570" t="s">
        <v>24</v>
      </c>
      <c r="C10" s="117" t="s">
        <v>25</v>
      </c>
      <c r="D10" s="118">
        <v>135402</v>
      </c>
      <c r="E10" s="119">
        <v>649.9</v>
      </c>
      <c r="F10" s="119">
        <v>602.70000000000005</v>
      </c>
      <c r="G10" s="120">
        <v>20</v>
      </c>
      <c r="H10" s="120">
        <f t="shared" si="0"/>
        <v>943.99999999999898</v>
      </c>
      <c r="I10" s="121">
        <v>1.1000000000000001</v>
      </c>
      <c r="J10" s="121">
        <f t="shared" si="1"/>
        <v>1038.4000000000001</v>
      </c>
      <c r="K10" s="122"/>
      <c r="L10" s="123"/>
      <c r="M10" s="574">
        <f>J10+J11+K10+K11</f>
        <v>1830.4</v>
      </c>
      <c r="N10" s="553">
        <v>1830</v>
      </c>
    </row>
    <row r="11" spans="1:15" ht="26.15" customHeight="1">
      <c r="A11" s="567"/>
      <c r="B11" s="570"/>
      <c r="C11" s="117" t="s">
        <v>26</v>
      </c>
      <c r="D11" s="118">
        <v>135408</v>
      </c>
      <c r="E11" s="119">
        <v>262.8</v>
      </c>
      <c r="F11" s="119">
        <v>244.8</v>
      </c>
      <c r="G11" s="120">
        <v>40</v>
      </c>
      <c r="H11" s="120">
        <f t="shared" si="0"/>
        <v>720</v>
      </c>
      <c r="I11" s="121">
        <v>1.1000000000000001</v>
      </c>
      <c r="J11" s="121">
        <f t="shared" si="1"/>
        <v>792</v>
      </c>
      <c r="K11" s="122"/>
      <c r="L11" s="123"/>
      <c r="M11" s="574"/>
      <c r="N11" s="553"/>
    </row>
    <row r="12" spans="1:15" s="34" customFormat="1" ht="26.15" customHeight="1">
      <c r="A12" s="126">
        <v>7</v>
      </c>
      <c r="B12" s="106" t="s">
        <v>27</v>
      </c>
      <c r="C12" s="107" t="s">
        <v>16</v>
      </c>
      <c r="D12" s="108">
        <v>136866</v>
      </c>
      <c r="E12" s="109">
        <v>248.7</v>
      </c>
      <c r="F12" s="109">
        <v>234.8</v>
      </c>
      <c r="G12" s="110">
        <v>20</v>
      </c>
      <c r="H12" s="110">
        <f t="shared" si="0"/>
        <v>278</v>
      </c>
      <c r="I12" s="111">
        <v>1.1000000000000001</v>
      </c>
      <c r="J12" s="111">
        <f t="shared" si="1"/>
        <v>305.79999999999899</v>
      </c>
      <c r="K12" s="112"/>
      <c r="L12" s="113"/>
      <c r="M12" s="111">
        <f>J12+K12</f>
        <v>305.8</v>
      </c>
      <c r="N12" s="128">
        <v>305.5</v>
      </c>
    </row>
    <row r="13" spans="1:15" ht="26.15" customHeight="1">
      <c r="A13" s="115">
        <v>8</v>
      </c>
      <c r="B13" s="116" t="s">
        <v>28</v>
      </c>
      <c r="C13" s="117" t="s">
        <v>16</v>
      </c>
      <c r="D13" s="130">
        <v>135847</v>
      </c>
      <c r="E13" s="119">
        <v>218.3</v>
      </c>
      <c r="F13" s="119">
        <v>208.5</v>
      </c>
      <c r="G13" s="120">
        <v>40</v>
      </c>
      <c r="H13" s="120">
        <f t="shared" si="0"/>
        <v>392</v>
      </c>
      <c r="I13" s="121">
        <v>1.1000000000000001</v>
      </c>
      <c r="J13" s="121">
        <f t="shared" si="1"/>
        <v>431.20000000000101</v>
      </c>
      <c r="K13" s="122"/>
      <c r="L13" s="123"/>
      <c r="M13" s="121">
        <f>J13+K13</f>
        <v>431.20000000000101</v>
      </c>
      <c r="N13" s="93">
        <v>431</v>
      </c>
      <c r="O13" s="74"/>
    </row>
    <row r="14" spans="1:15" s="34" customFormat="1" ht="26.15" customHeight="1">
      <c r="A14" s="126">
        <v>9</v>
      </c>
      <c r="B14" s="106" t="s">
        <v>29</v>
      </c>
      <c r="C14" s="107" t="s">
        <v>16</v>
      </c>
      <c r="D14" s="108">
        <v>135848</v>
      </c>
      <c r="E14" s="109">
        <v>722.7</v>
      </c>
      <c r="F14" s="109">
        <v>662.5</v>
      </c>
      <c r="G14" s="131">
        <v>40</v>
      </c>
      <c r="H14" s="110">
        <f t="shared" si="0"/>
        <v>2408</v>
      </c>
      <c r="I14" s="111">
        <v>1.1000000000000001</v>
      </c>
      <c r="J14" s="111">
        <f t="shared" si="1"/>
        <v>2648.8</v>
      </c>
      <c r="K14" s="112"/>
      <c r="L14" s="113"/>
      <c r="M14" s="111">
        <f>J14+K14</f>
        <v>2648.8</v>
      </c>
      <c r="N14" s="128">
        <v>2648.8</v>
      </c>
    </row>
    <row r="15" spans="1:15" ht="26.15" customHeight="1">
      <c r="A15" s="566">
        <v>10</v>
      </c>
      <c r="B15" s="570" t="s">
        <v>31</v>
      </c>
      <c r="C15" s="571" t="s">
        <v>16</v>
      </c>
      <c r="D15" s="118">
        <v>135846</v>
      </c>
      <c r="E15" s="119">
        <v>678.9</v>
      </c>
      <c r="F15" s="119">
        <v>630.79999999999995</v>
      </c>
      <c r="G15" s="132">
        <v>40</v>
      </c>
      <c r="H15" s="120">
        <f t="shared" si="0"/>
        <v>1924</v>
      </c>
      <c r="I15" s="121">
        <v>1.1000000000000001</v>
      </c>
      <c r="J15" s="121">
        <f t="shared" si="1"/>
        <v>2116.4</v>
      </c>
      <c r="K15" s="122"/>
      <c r="L15" s="123"/>
      <c r="M15" s="574">
        <f>J15+K15+J16+K16</f>
        <v>2882</v>
      </c>
      <c r="N15" s="553">
        <v>2882</v>
      </c>
    </row>
    <row r="16" spans="1:15" ht="26.15" customHeight="1">
      <c r="A16" s="567"/>
      <c r="B16" s="570"/>
      <c r="C16" s="571"/>
      <c r="D16" s="134">
        <v>135379</v>
      </c>
      <c r="E16" s="123">
        <v>20.8</v>
      </c>
      <c r="F16" s="123">
        <v>12.1</v>
      </c>
      <c r="G16" s="123">
        <v>80</v>
      </c>
      <c r="H16" s="123">
        <f t="shared" si="0"/>
        <v>696</v>
      </c>
      <c r="I16" s="121">
        <v>1.1000000000000001</v>
      </c>
      <c r="J16" s="121">
        <f t="shared" si="1"/>
        <v>765.6</v>
      </c>
      <c r="K16" s="122"/>
      <c r="L16" s="123"/>
      <c r="M16" s="574"/>
      <c r="N16" s="553"/>
    </row>
    <row r="17" spans="1:17" s="34" customFormat="1" ht="26.15" customHeight="1">
      <c r="A17" s="105">
        <v>11</v>
      </c>
      <c r="B17" s="106" t="s">
        <v>32</v>
      </c>
      <c r="C17" s="107" t="s">
        <v>16</v>
      </c>
      <c r="D17" s="108">
        <v>135845</v>
      </c>
      <c r="E17" s="109">
        <v>448.8</v>
      </c>
      <c r="F17" s="109">
        <v>422.2</v>
      </c>
      <c r="G17" s="131">
        <v>40</v>
      </c>
      <c r="H17" s="110">
        <f t="shared" si="0"/>
        <v>1064</v>
      </c>
      <c r="I17" s="111">
        <v>1.1000000000000001</v>
      </c>
      <c r="J17" s="111">
        <f t="shared" si="1"/>
        <v>1170.4000000000001</v>
      </c>
      <c r="K17" s="112"/>
      <c r="L17" s="113"/>
      <c r="M17" s="111">
        <f t="shared" ref="M17:M29" si="2">J17+K17</f>
        <v>1170.4000000000001</v>
      </c>
      <c r="N17" s="135">
        <v>1170</v>
      </c>
      <c r="O17" s="78"/>
      <c r="P17" s="71"/>
      <c r="Q17" s="79"/>
    </row>
    <row r="18" spans="1:17" ht="26.15" customHeight="1">
      <c r="A18" s="133">
        <v>12</v>
      </c>
      <c r="B18" s="116" t="s">
        <v>33</v>
      </c>
      <c r="C18" s="117" t="s">
        <v>16</v>
      </c>
      <c r="D18" s="130">
        <v>135844</v>
      </c>
      <c r="E18" s="119">
        <v>62.3</v>
      </c>
      <c r="F18" s="119">
        <v>54.6</v>
      </c>
      <c r="G18" s="136">
        <v>30</v>
      </c>
      <c r="H18" s="120">
        <f t="shared" si="0"/>
        <v>231</v>
      </c>
      <c r="I18" s="121">
        <v>1.1000000000000001</v>
      </c>
      <c r="J18" s="121">
        <f t="shared" si="1"/>
        <v>254.1</v>
      </c>
      <c r="K18" s="122"/>
      <c r="L18" s="123"/>
      <c r="M18" s="121">
        <f t="shared" si="2"/>
        <v>254.1</v>
      </c>
      <c r="N18" s="93">
        <v>254.1</v>
      </c>
      <c r="O18" s="74"/>
    </row>
    <row r="19" spans="1:17" s="34" customFormat="1" ht="26.15" customHeight="1">
      <c r="A19" s="105">
        <v>13</v>
      </c>
      <c r="B19" s="106" t="s">
        <v>34</v>
      </c>
      <c r="C19" s="107" t="s">
        <v>16</v>
      </c>
      <c r="D19" s="137">
        <v>135844</v>
      </c>
      <c r="E19" s="109">
        <v>77.5</v>
      </c>
      <c r="F19" s="109">
        <v>66.400000000000006</v>
      </c>
      <c r="G19" s="138">
        <v>30</v>
      </c>
      <c r="H19" s="110">
        <f t="shared" si="0"/>
        <v>333</v>
      </c>
      <c r="I19" s="111">
        <v>1.1000000000000001</v>
      </c>
      <c r="J19" s="111">
        <f t="shared" si="1"/>
        <v>366.3</v>
      </c>
      <c r="K19" s="112"/>
      <c r="L19" s="113"/>
      <c r="M19" s="111">
        <f t="shared" si="2"/>
        <v>366.3</v>
      </c>
      <c r="N19" s="128">
        <v>366.3</v>
      </c>
      <c r="O19" s="83"/>
    </row>
    <row r="20" spans="1:17" ht="26.15" customHeight="1">
      <c r="A20" s="133">
        <v>14</v>
      </c>
      <c r="B20" s="116" t="s">
        <v>35</v>
      </c>
      <c r="C20" s="117" t="s">
        <v>16</v>
      </c>
      <c r="D20" s="130">
        <v>135850</v>
      </c>
      <c r="E20" s="119">
        <v>207</v>
      </c>
      <c r="F20" s="119">
        <v>197.1</v>
      </c>
      <c r="G20" s="136">
        <v>30</v>
      </c>
      <c r="H20" s="120">
        <f t="shared" si="0"/>
        <v>297</v>
      </c>
      <c r="I20" s="121">
        <v>1.1000000000000001</v>
      </c>
      <c r="J20" s="121">
        <f t="shared" si="1"/>
        <v>326.7</v>
      </c>
      <c r="K20" s="122"/>
      <c r="L20" s="123"/>
      <c r="M20" s="121">
        <f t="shared" si="2"/>
        <v>326.7</v>
      </c>
      <c r="N20" s="93">
        <v>326</v>
      </c>
      <c r="O20" s="74"/>
    </row>
    <row r="21" spans="1:17" s="34" customFormat="1" ht="26.15" customHeight="1">
      <c r="A21" s="105">
        <v>15</v>
      </c>
      <c r="B21" s="106" t="s">
        <v>36</v>
      </c>
      <c r="C21" s="107" t="s">
        <v>16</v>
      </c>
      <c r="D21" s="108">
        <v>135358</v>
      </c>
      <c r="E21" s="109">
        <v>222.4</v>
      </c>
      <c r="F21" s="109">
        <v>211.7</v>
      </c>
      <c r="G21" s="131">
        <v>40</v>
      </c>
      <c r="H21" s="110">
        <f t="shared" si="0"/>
        <v>428.00000000000102</v>
      </c>
      <c r="I21" s="111">
        <v>1.1000000000000001</v>
      </c>
      <c r="J21" s="111">
        <f t="shared" si="1"/>
        <v>470.80000000000098</v>
      </c>
      <c r="K21" s="112"/>
      <c r="L21" s="113"/>
      <c r="M21" s="111">
        <f t="shared" si="2"/>
        <v>470.80000000000098</v>
      </c>
      <c r="N21" s="128">
        <v>470</v>
      </c>
      <c r="O21" s="83"/>
    </row>
    <row r="22" spans="1:17" ht="26.15" customHeight="1">
      <c r="A22" s="133">
        <v>16</v>
      </c>
      <c r="B22" s="116" t="s">
        <v>126</v>
      </c>
      <c r="C22" s="117" t="s">
        <v>16</v>
      </c>
      <c r="D22" s="130">
        <v>135380</v>
      </c>
      <c r="E22" s="119">
        <v>311.39999999999998</v>
      </c>
      <c r="F22" s="119">
        <v>295.3</v>
      </c>
      <c r="G22" s="136">
        <v>40</v>
      </c>
      <c r="H22" s="120">
        <f t="shared" si="0"/>
        <v>643.99999999999898</v>
      </c>
      <c r="I22" s="121">
        <v>1.1000000000000001</v>
      </c>
      <c r="J22" s="121">
        <f t="shared" si="1"/>
        <v>708.39999999999895</v>
      </c>
      <c r="K22" s="122"/>
      <c r="L22" s="123"/>
      <c r="M22" s="121">
        <f t="shared" si="2"/>
        <v>708.39999999999895</v>
      </c>
      <c r="N22" s="93">
        <v>708</v>
      </c>
      <c r="Q22" s="84"/>
    </row>
    <row r="23" spans="1:17" s="34" customFormat="1" ht="26.15" customHeight="1">
      <c r="A23" s="105">
        <v>17</v>
      </c>
      <c r="B23" s="106" t="s">
        <v>38</v>
      </c>
      <c r="C23" s="107" t="s">
        <v>16</v>
      </c>
      <c r="D23" s="108">
        <v>135376</v>
      </c>
      <c r="E23" s="109">
        <v>36.700000000000003</v>
      </c>
      <c r="F23" s="109">
        <v>32.299999999999997</v>
      </c>
      <c r="G23" s="131">
        <v>40</v>
      </c>
      <c r="H23" s="110">
        <f t="shared" si="0"/>
        <v>176</v>
      </c>
      <c r="I23" s="111">
        <v>1.1000000000000001</v>
      </c>
      <c r="J23" s="111">
        <f t="shared" si="1"/>
        <v>193.6</v>
      </c>
      <c r="K23" s="112"/>
      <c r="L23" s="113"/>
      <c r="M23" s="111">
        <f t="shared" si="2"/>
        <v>193.6</v>
      </c>
      <c r="N23" s="128">
        <v>194</v>
      </c>
      <c r="O23" s="83"/>
    </row>
    <row r="24" spans="1:17" ht="26.15" customHeight="1">
      <c r="A24" s="133">
        <v>18</v>
      </c>
      <c r="B24" s="116" t="s">
        <v>39</v>
      </c>
      <c r="C24" s="117" t="s">
        <v>16</v>
      </c>
      <c r="D24" s="139" t="s">
        <v>40</v>
      </c>
      <c r="E24" s="119">
        <v>561</v>
      </c>
      <c r="F24" s="119">
        <v>496</v>
      </c>
      <c r="G24" s="132">
        <v>1</v>
      </c>
      <c r="H24" s="120">
        <f t="shared" si="0"/>
        <v>65</v>
      </c>
      <c r="I24" s="121">
        <v>1.1000000000000001</v>
      </c>
      <c r="J24" s="121">
        <f t="shared" si="1"/>
        <v>71.5</v>
      </c>
      <c r="K24" s="122"/>
      <c r="L24" s="123"/>
      <c r="M24" s="121">
        <f t="shared" si="2"/>
        <v>71.5</v>
      </c>
      <c r="N24" s="93">
        <v>71.5</v>
      </c>
    </row>
    <row r="25" spans="1:17" s="34" customFormat="1" ht="26.15" customHeight="1">
      <c r="A25" s="105">
        <v>19</v>
      </c>
      <c r="B25" s="106" t="s">
        <v>41</v>
      </c>
      <c r="C25" s="107" t="s">
        <v>16</v>
      </c>
      <c r="D25" s="108" t="s">
        <v>42</v>
      </c>
      <c r="E25" s="109">
        <v>2494</v>
      </c>
      <c r="F25" s="109">
        <v>2099</v>
      </c>
      <c r="G25" s="131">
        <v>1</v>
      </c>
      <c r="H25" s="110">
        <f t="shared" si="0"/>
        <v>395</v>
      </c>
      <c r="I25" s="111">
        <v>1.1000000000000001</v>
      </c>
      <c r="J25" s="111">
        <f t="shared" si="1"/>
        <v>434.5</v>
      </c>
      <c r="K25" s="112"/>
      <c r="L25" s="113"/>
      <c r="M25" s="111">
        <f t="shared" si="2"/>
        <v>434.5</v>
      </c>
      <c r="N25" s="128">
        <v>434.5</v>
      </c>
      <c r="O25" s="83"/>
    </row>
    <row r="26" spans="1:17" ht="26.15" customHeight="1">
      <c r="A26" s="133">
        <v>20</v>
      </c>
      <c r="B26" s="116" t="s">
        <v>43</v>
      </c>
      <c r="C26" s="117" t="s">
        <v>16</v>
      </c>
      <c r="D26" s="118">
        <v>281917</v>
      </c>
      <c r="E26" s="119">
        <v>68</v>
      </c>
      <c r="F26" s="119">
        <v>56.2</v>
      </c>
      <c r="G26" s="132">
        <v>100</v>
      </c>
      <c r="H26" s="120">
        <f t="shared" si="0"/>
        <v>1180</v>
      </c>
      <c r="I26" s="121">
        <v>1.1000000000000001</v>
      </c>
      <c r="J26" s="121">
        <f t="shared" si="1"/>
        <v>1298</v>
      </c>
      <c r="K26" s="122"/>
      <c r="L26" s="123"/>
      <c r="M26" s="121">
        <f t="shared" si="2"/>
        <v>1298</v>
      </c>
      <c r="N26" s="93">
        <v>1298</v>
      </c>
    </row>
    <row r="27" spans="1:17" s="34" customFormat="1" ht="26.15" customHeight="1">
      <c r="A27" s="105">
        <v>21</v>
      </c>
      <c r="B27" s="106" t="s">
        <v>44</v>
      </c>
      <c r="C27" s="107" t="s">
        <v>16</v>
      </c>
      <c r="D27" s="108">
        <v>136865</v>
      </c>
      <c r="E27" s="109">
        <v>327</v>
      </c>
      <c r="F27" s="109">
        <v>308.60000000000002</v>
      </c>
      <c r="G27" s="131">
        <v>20</v>
      </c>
      <c r="H27" s="110">
        <f t="shared" si="0"/>
        <v>368</v>
      </c>
      <c r="I27" s="111">
        <v>1.1000000000000001</v>
      </c>
      <c r="J27" s="111">
        <f t="shared" si="1"/>
        <v>404.8</v>
      </c>
      <c r="K27" s="112"/>
      <c r="L27" s="113"/>
      <c r="M27" s="111">
        <f t="shared" si="2"/>
        <v>404.8</v>
      </c>
      <c r="N27" s="128">
        <v>404</v>
      </c>
    </row>
    <row r="28" spans="1:17" ht="26.15" customHeight="1">
      <c r="A28" s="133">
        <v>22</v>
      </c>
      <c r="B28" s="116" t="s">
        <v>46</v>
      </c>
      <c r="C28" s="117" t="s">
        <v>16</v>
      </c>
      <c r="D28" s="118">
        <v>121780</v>
      </c>
      <c r="E28" s="119">
        <v>70</v>
      </c>
      <c r="F28" s="119">
        <v>62</v>
      </c>
      <c r="G28" s="132">
        <v>20</v>
      </c>
      <c r="H28" s="120">
        <f t="shared" si="0"/>
        <v>160</v>
      </c>
      <c r="I28" s="121">
        <v>1.1000000000000001</v>
      </c>
      <c r="J28" s="121">
        <f t="shared" si="1"/>
        <v>176</v>
      </c>
      <c r="K28" s="122"/>
      <c r="L28" s="123"/>
      <c r="M28" s="121">
        <f t="shared" si="2"/>
        <v>176</v>
      </c>
      <c r="N28" s="93">
        <v>176</v>
      </c>
      <c r="O28" s="74"/>
    </row>
    <row r="29" spans="1:17" s="34" customFormat="1" ht="26.15" customHeight="1">
      <c r="A29" s="105">
        <v>23</v>
      </c>
      <c r="B29" s="106" t="s">
        <v>47</v>
      </c>
      <c r="C29" s="107" t="s">
        <v>16</v>
      </c>
      <c r="D29" s="108">
        <v>135940</v>
      </c>
      <c r="E29" s="109">
        <v>44.7</v>
      </c>
      <c r="F29" s="109">
        <v>41</v>
      </c>
      <c r="G29" s="131">
        <v>30</v>
      </c>
      <c r="H29" s="110">
        <f t="shared" si="0"/>
        <v>111</v>
      </c>
      <c r="I29" s="111">
        <v>1.1000000000000001</v>
      </c>
      <c r="J29" s="111">
        <f t="shared" si="1"/>
        <v>122.1</v>
      </c>
      <c r="K29" s="112"/>
      <c r="L29" s="113"/>
      <c r="M29" s="111">
        <f t="shared" si="2"/>
        <v>122.1</v>
      </c>
      <c r="N29" s="128">
        <v>123</v>
      </c>
    </row>
    <row r="30" spans="1:17" ht="26.15" customHeight="1">
      <c r="A30" s="133">
        <v>24</v>
      </c>
      <c r="B30" s="116" t="s">
        <v>48</v>
      </c>
      <c r="C30" s="117" t="s">
        <v>16</v>
      </c>
      <c r="D30" s="139">
        <v>121780</v>
      </c>
      <c r="E30" s="120">
        <v>2997.5</v>
      </c>
      <c r="F30" s="120">
        <v>2772.3</v>
      </c>
      <c r="G30" s="120">
        <v>30</v>
      </c>
      <c r="H30" s="120">
        <f t="shared" si="0"/>
        <v>6755.99999999999</v>
      </c>
      <c r="I30" s="121">
        <v>1.1000000000000001</v>
      </c>
      <c r="J30" s="121">
        <f t="shared" si="1"/>
        <v>7431.5999999999904</v>
      </c>
      <c r="K30" s="123"/>
      <c r="L30" s="123"/>
      <c r="M30" s="121">
        <v>0</v>
      </c>
      <c r="N30" s="125"/>
    </row>
    <row r="31" spans="1:17" s="34" customFormat="1" ht="26.15" customHeight="1">
      <c r="A31" s="105">
        <v>25</v>
      </c>
      <c r="B31" s="106" t="s">
        <v>49</v>
      </c>
      <c r="C31" s="107" t="s">
        <v>16</v>
      </c>
      <c r="D31" s="140">
        <v>134768</v>
      </c>
      <c r="E31" s="110">
        <v>839.3</v>
      </c>
      <c r="F31" s="110">
        <v>691.1</v>
      </c>
      <c r="G31" s="110">
        <v>80</v>
      </c>
      <c r="H31" s="110">
        <f t="shared" si="0"/>
        <v>11856</v>
      </c>
      <c r="I31" s="111">
        <v>1.1000000000000001</v>
      </c>
      <c r="J31" s="111">
        <f t="shared" si="1"/>
        <v>13041.6</v>
      </c>
      <c r="K31" s="112"/>
      <c r="L31" s="113"/>
      <c r="M31" s="111">
        <f>J31+K31</f>
        <v>13041.6</v>
      </c>
      <c r="N31" s="114">
        <v>13041</v>
      </c>
    </row>
    <row r="32" spans="1:17" ht="26.15" customHeight="1">
      <c r="A32" s="133">
        <v>26</v>
      </c>
      <c r="B32" s="116" t="s">
        <v>111</v>
      </c>
      <c r="C32" s="117" t="s">
        <v>16</v>
      </c>
      <c r="D32" s="139">
        <v>135939</v>
      </c>
      <c r="E32" s="120">
        <v>66.400000000000006</v>
      </c>
      <c r="F32" s="120">
        <v>32.4</v>
      </c>
      <c r="G32" s="120">
        <v>80</v>
      </c>
      <c r="H32" s="120">
        <f t="shared" si="0"/>
        <v>2720</v>
      </c>
      <c r="I32" s="121">
        <v>1.1000000000000001</v>
      </c>
      <c r="J32" s="121">
        <f t="shared" si="1"/>
        <v>2992</v>
      </c>
      <c r="K32" s="123"/>
      <c r="L32" s="123"/>
      <c r="M32" s="121">
        <f>J32+K32</f>
        <v>2992</v>
      </c>
      <c r="N32" s="125">
        <v>2992</v>
      </c>
    </row>
    <row r="33" spans="1:15" s="34" customFormat="1" ht="26.15" customHeight="1">
      <c r="A33" s="105">
        <v>27</v>
      </c>
      <c r="B33" s="106" t="s">
        <v>127</v>
      </c>
      <c r="C33" s="142" t="s">
        <v>16</v>
      </c>
      <c r="D33" s="113" t="s">
        <v>128</v>
      </c>
      <c r="E33" s="113">
        <v>17.100000000000001</v>
      </c>
      <c r="F33" s="113">
        <v>0</v>
      </c>
      <c r="G33" s="113">
        <v>80</v>
      </c>
      <c r="H33" s="113">
        <f t="shared" si="0"/>
        <v>1368</v>
      </c>
      <c r="I33" s="111">
        <v>1.1000000000000001</v>
      </c>
      <c r="J33" s="111">
        <f t="shared" si="1"/>
        <v>1504.8</v>
      </c>
      <c r="K33" s="113"/>
      <c r="L33" s="113"/>
      <c r="M33" s="111">
        <f>J33+K33</f>
        <v>1504.8</v>
      </c>
      <c r="N33" s="114">
        <v>1504.8</v>
      </c>
      <c r="O33" s="79">
        <f>N33-M33</f>
        <v>0</v>
      </c>
    </row>
    <row r="34" spans="1:15" ht="26.15" customHeight="1">
      <c r="A34" s="559" t="s">
        <v>51</v>
      </c>
      <c r="B34" s="560"/>
      <c r="C34" s="560"/>
      <c r="D34" s="560"/>
      <c r="E34" s="560"/>
      <c r="F34" s="560"/>
      <c r="G34" s="560"/>
      <c r="H34" s="560"/>
      <c r="I34" s="560"/>
      <c r="J34" s="145">
        <f>SUM(J3:J33)</f>
        <v>46525.599999999999</v>
      </c>
      <c r="K34" s="578"/>
      <c r="L34" s="578"/>
      <c r="M34" s="146">
        <f>SUM(M3:M33)</f>
        <v>39094</v>
      </c>
      <c r="N34" s="147">
        <f>SUM(N3:N33)</f>
        <v>39089.699999999997</v>
      </c>
      <c r="O34" s="68">
        <f>M34-M30</f>
        <v>39094</v>
      </c>
    </row>
    <row r="35" spans="1:15" ht="26.15" customHeight="1">
      <c r="A35" s="559" t="s">
        <v>112</v>
      </c>
      <c r="B35" s="560"/>
      <c r="C35" s="560"/>
      <c r="D35" s="560"/>
      <c r="E35" s="560"/>
      <c r="F35" s="560"/>
      <c r="G35" s="560"/>
      <c r="H35" s="560"/>
      <c r="I35" s="560"/>
      <c r="J35" s="560"/>
      <c r="K35" s="560"/>
      <c r="L35" s="560"/>
      <c r="M35" s="560"/>
      <c r="N35" s="148">
        <v>-1980</v>
      </c>
    </row>
    <row r="36" spans="1:15" ht="26.15" customHeight="1">
      <c r="A36" s="554" t="s">
        <v>117</v>
      </c>
      <c r="B36" s="555"/>
      <c r="C36" s="557" t="s">
        <v>142</v>
      </c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93">
        <v>-2000</v>
      </c>
    </row>
    <row r="37" spans="1:15" ht="26.15" customHeight="1">
      <c r="A37" s="556"/>
      <c r="B37" s="555"/>
      <c r="C37" s="557" t="s">
        <v>143</v>
      </c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93">
        <v>-70</v>
      </c>
    </row>
    <row r="38" spans="1:15" ht="26.15" customHeight="1">
      <c r="A38" s="556"/>
      <c r="B38" s="555"/>
      <c r="C38" s="557" t="s">
        <v>144</v>
      </c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93">
        <v>-29977.06</v>
      </c>
    </row>
    <row r="39" spans="1:15" ht="26.15" customHeight="1">
      <c r="A39" s="556"/>
      <c r="B39" s="555"/>
      <c r="C39" s="557" t="s">
        <v>145</v>
      </c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93">
        <v>-75.650000000000006</v>
      </c>
    </row>
    <row r="40" spans="1:15" ht="26.15" customHeight="1">
      <c r="A40" s="556"/>
      <c r="B40" s="555"/>
      <c r="C40" s="557" t="s">
        <v>146</v>
      </c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93">
        <v>-600</v>
      </c>
    </row>
    <row r="41" spans="1:15" ht="26.15" customHeight="1">
      <c r="A41" s="556"/>
      <c r="B41" s="555"/>
      <c r="C41" s="557" t="s">
        <v>147</v>
      </c>
      <c r="D41" s="558"/>
      <c r="E41" s="558"/>
      <c r="F41" s="558"/>
      <c r="G41" s="558"/>
      <c r="H41" s="558"/>
      <c r="I41" s="558"/>
      <c r="J41" s="558"/>
      <c r="K41" s="558"/>
      <c r="L41" s="558"/>
      <c r="M41" s="558"/>
      <c r="N41" s="93">
        <v>-300</v>
      </c>
    </row>
    <row r="42" spans="1:15" ht="26.15" customHeight="1">
      <c r="A42" s="556"/>
      <c r="B42" s="555"/>
      <c r="C42" s="557" t="s">
        <v>148</v>
      </c>
      <c r="D42" s="558"/>
      <c r="E42" s="558"/>
      <c r="F42" s="558"/>
      <c r="G42" s="558"/>
      <c r="H42" s="558"/>
      <c r="I42" s="558"/>
      <c r="J42" s="558"/>
      <c r="K42" s="558"/>
      <c r="L42" s="558"/>
      <c r="M42" s="558"/>
      <c r="N42" s="93">
        <v>-720</v>
      </c>
    </row>
    <row r="43" spans="1:15" ht="26.15" customHeight="1">
      <c r="A43" s="556"/>
      <c r="B43" s="555"/>
      <c r="C43" s="575" t="s">
        <v>149</v>
      </c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93">
        <v>-1000</v>
      </c>
    </row>
    <row r="44" spans="1:15" ht="26.15" customHeight="1">
      <c r="A44" s="556"/>
      <c r="B44" s="555"/>
      <c r="C44" s="557" t="s">
        <v>150</v>
      </c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93">
        <f>-62.9-52.9</f>
        <v>-115.8</v>
      </c>
    </row>
    <row r="45" spans="1:15" ht="26.15" customHeight="1">
      <c r="A45" s="556"/>
      <c r="B45" s="555"/>
      <c r="C45" s="557" t="s">
        <v>151</v>
      </c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93">
        <v>-3079.5</v>
      </c>
    </row>
    <row r="46" spans="1:15" ht="26.15" customHeight="1">
      <c r="A46" s="556"/>
      <c r="B46" s="555"/>
      <c r="C46" s="557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93"/>
    </row>
    <row r="47" spans="1:15" s="8" customFormat="1" ht="26.15" customHeight="1">
      <c r="A47" s="559" t="s">
        <v>140</v>
      </c>
      <c r="B47" s="560"/>
      <c r="C47" s="561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150">
        <f>N34+SUM(N35:N46)</f>
        <v>-828.31000000000495</v>
      </c>
      <c r="O47" s="9"/>
    </row>
    <row r="48" spans="1:15" s="8" customFormat="1" ht="26.15" customHeight="1">
      <c r="A48" s="10"/>
      <c r="B48" s="10"/>
      <c r="C48" s="10"/>
      <c r="D48" s="35"/>
      <c r="E48" s="12"/>
      <c r="F48" s="12"/>
      <c r="G48" s="12"/>
      <c r="H48" s="12"/>
      <c r="I48" s="9"/>
      <c r="J48" s="9"/>
      <c r="K48" s="9"/>
      <c r="L48" s="9"/>
      <c r="M48" s="12"/>
      <c r="O48" s="9"/>
    </row>
    <row r="49" spans="1:15" s="8" customFormat="1" ht="26.15" customHeight="1">
      <c r="A49" s="10"/>
      <c r="B49" s="10"/>
      <c r="C49" s="10"/>
      <c r="D49" s="35"/>
      <c r="E49" s="12"/>
      <c r="F49" s="12"/>
      <c r="G49" s="12"/>
      <c r="H49" s="12"/>
      <c r="I49" s="9"/>
      <c r="J49" s="9"/>
      <c r="K49" s="9"/>
      <c r="L49" s="9"/>
      <c r="M49" s="12"/>
      <c r="O49" s="9"/>
    </row>
    <row r="50" spans="1:15" s="8" customFormat="1" ht="26.15" customHeight="1">
      <c r="A50" s="10"/>
      <c r="B50" s="10"/>
      <c r="C50" s="10"/>
      <c r="D50" s="35"/>
      <c r="E50" s="12"/>
      <c r="F50" s="12"/>
      <c r="G50" s="12"/>
      <c r="H50" s="12"/>
      <c r="I50" s="9"/>
      <c r="J50" s="9"/>
      <c r="K50" s="9"/>
      <c r="L50" s="9"/>
      <c r="M50" s="12"/>
      <c r="O50" s="9"/>
    </row>
    <row r="51" spans="1:15" s="8" customFormat="1" ht="26.15" customHeight="1">
      <c r="A51" s="10"/>
      <c r="B51" s="10"/>
      <c r="C51" s="10"/>
      <c r="D51" s="35"/>
      <c r="E51" s="12"/>
      <c r="F51" s="12"/>
      <c r="G51" s="12"/>
      <c r="H51" s="12"/>
      <c r="I51" s="9"/>
      <c r="J51" s="9"/>
      <c r="K51" s="9"/>
      <c r="L51" s="9"/>
      <c r="M51" s="12"/>
      <c r="O51" s="9"/>
    </row>
    <row r="52" spans="1:15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12"/>
      <c r="O52" s="9"/>
    </row>
    <row r="53" spans="1:15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12"/>
      <c r="O53" s="9"/>
    </row>
    <row r="54" spans="1:15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12"/>
      <c r="O54" s="9"/>
    </row>
    <row r="55" spans="1:15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12"/>
      <c r="O55" s="9"/>
    </row>
    <row r="56" spans="1:15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12"/>
      <c r="O56" s="9"/>
    </row>
    <row r="57" spans="1:15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12"/>
      <c r="O57" s="9"/>
    </row>
    <row r="58" spans="1:15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12"/>
      <c r="O58" s="9"/>
    </row>
    <row r="59" spans="1:15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12"/>
      <c r="O59" s="9"/>
    </row>
    <row r="60" spans="1:15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12"/>
      <c r="O60" s="9"/>
    </row>
    <row r="61" spans="1:15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12"/>
      <c r="O61" s="9"/>
    </row>
    <row r="62" spans="1:15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12"/>
      <c r="O62" s="9"/>
    </row>
    <row r="63" spans="1:15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12"/>
      <c r="O63" s="9"/>
    </row>
    <row r="64" spans="1:15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12"/>
      <c r="O64" s="9"/>
    </row>
    <row r="65" spans="1:15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12"/>
      <c r="O65" s="9"/>
    </row>
    <row r="66" spans="1:15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12"/>
      <c r="O66" s="9"/>
    </row>
    <row r="67" spans="1:15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12"/>
      <c r="O67" s="9"/>
    </row>
    <row r="68" spans="1:15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12"/>
      <c r="O68" s="9"/>
    </row>
    <row r="69" spans="1:15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12"/>
      <c r="O69" s="9"/>
    </row>
    <row r="70" spans="1:15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12"/>
      <c r="O70" s="9"/>
    </row>
    <row r="71" spans="1:15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12"/>
      <c r="O71" s="9"/>
    </row>
    <row r="72" spans="1:15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12"/>
      <c r="O72" s="9"/>
    </row>
    <row r="73" spans="1:15" s="8" customFormat="1" ht="26.15" customHeight="1">
      <c r="A73" s="10"/>
      <c r="B73" s="10"/>
      <c r="C73" s="10"/>
      <c r="D73" s="35"/>
      <c r="E73" s="12"/>
      <c r="F73" s="12"/>
      <c r="G73" s="12"/>
      <c r="H73" s="12"/>
      <c r="I73" s="9"/>
      <c r="J73" s="9"/>
      <c r="K73" s="9"/>
      <c r="L73" s="9"/>
      <c r="M73" s="12"/>
      <c r="O73" s="9"/>
    </row>
    <row r="74" spans="1:15" s="8" customFormat="1" ht="26.15" customHeight="1">
      <c r="A74" s="10"/>
      <c r="B74" s="10"/>
      <c r="C74" s="10"/>
      <c r="D74" s="35"/>
      <c r="E74" s="12"/>
      <c r="F74" s="12"/>
      <c r="G74" s="12"/>
      <c r="H74" s="12"/>
      <c r="I74" s="9"/>
      <c r="J74" s="9"/>
      <c r="K74" s="9"/>
      <c r="L74" s="9"/>
      <c r="M74" s="12"/>
      <c r="O74" s="9"/>
    </row>
    <row r="75" spans="1:15" s="8" customFormat="1" ht="26.15" customHeight="1">
      <c r="A75" s="10"/>
      <c r="B75" s="10"/>
      <c r="C75" s="10"/>
      <c r="D75" s="35"/>
      <c r="E75" s="12"/>
      <c r="F75" s="12"/>
      <c r="G75" s="12"/>
      <c r="H75" s="12"/>
      <c r="I75" s="9"/>
      <c r="J75" s="9"/>
      <c r="K75" s="9"/>
      <c r="L75" s="9"/>
      <c r="M75" s="12"/>
      <c r="O75" s="9"/>
    </row>
    <row r="76" spans="1:15" s="8" customFormat="1" ht="26.15" customHeight="1">
      <c r="A76" s="10"/>
      <c r="B76" s="10"/>
      <c r="C76" s="10"/>
      <c r="D76" s="35"/>
      <c r="E76" s="12"/>
      <c r="F76" s="12"/>
      <c r="G76" s="12"/>
      <c r="H76" s="12"/>
      <c r="I76" s="9"/>
      <c r="J76" s="9"/>
      <c r="K76" s="9"/>
      <c r="L76" s="9"/>
      <c r="M76" s="12"/>
      <c r="O76" s="9"/>
    </row>
    <row r="77" spans="1:15" s="8" customFormat="1" ht="26.15" customHeight="1">
      <c r="A77" s="10"/>
      <c r="B77" s="10"/>
      <c r="C77" s="10"/>
      <c r="D77" s="35"/>
      <c r="E77" s="12"/>
      <c r="F77" s="12"/>
      <c r="G77" s="12"/>
      <c r="H77" s="12"/>
      <c r="I77" s="9"/>
      <c r="J77" s="9"/>
      <c r="K77" s="9"/>
      <c r="L77" s="9"/>
      <c r="M77" s="12"/>
      <c r="O77" s="9"/>
    </row>
    <row r="78" spans="1:15" s="8" customFormat="1" ht="26.15" customHeight="1">
      <c r="A78" s="10"/>
      <c r="B78" s="10"/>
      <c r="C78" s="10"/>
      <c r="D78" s="35"/>
      <c r="E78" s="12"/>
      <c r="F78" s="12"/>
      <c r="G78" s="12"/>
      <c r="H78" s="12"/>
      <c r="I78" s="9"/>
      <c r="J78" s="9"/>
      <c r="K78" s="9"/>
      <c r="L78" s="9"/>
      <c r="M78" s="12"/>
      <c r="O78" s="9"/>
    </row>
  </sheetData>
  <mergeCells count="34">
    <mergeCell ref="A1:M1"/>
    <mergeCell ref="A34:I34"/>
    <mergeCell ref="K34:L34"/>
    <mergeCell ref="A35:M35"/>
    <mergeCell ref="C36:M36"/>
    <mergeCell ref="A47:M47"/>
    <mergeCell ref="A3:A4"/>
    <mergeCell ref="A6:A7"/>
    <mergeCell ref="A10:A11"/>
    <mergeCell ref="A15:A16"/>
    <mergeCell ref="B3:B4"/>
    <mergeCell ref="B6:B7"/>
    <mergeCell ref="B10:B11"/>
    <mergeCell ref="B15:B16"/>
    <mergeCell ref="C15:C16"/>
    <mergeCell ref="M3:M4"/>
    <mergeCell ref="M6:M7"/>
    <mergeCell ref="M10:M11"/>
    <mergeCell ref="M15:M16"/>
    <mergeCell ref="C42:M42"/>
    <mergeCell ref="C43:M43"/>
    <mergeCell ref="N3:N4"/>
    <mergeCell ref="N6:N7"/>
    <mergeCell ref="N10:N11"/>
    <mergeCell ref="N15:N16"/>
    <mergeCell ref="A36:B46"/>
    <mergeCell ref="C44:M44"/>
    <mergeCell ref="C45:M45"/>
    <mergeCell ref="C46:M46"/>
    <mergeCell ref="C37:M37"/>
    <mergeCell ref="C38:M38"/>
    <mergeCell ref="C39:M39"/>
    <mergeCell ref="C40:M40"/>
    <mergeCell ref="C41:M41"/>
  </mergeCells>
  <phoneticPr fontId="22" type="noConversion"/>
  <conditionalFormatting sqref="J3">
    <cfRule type="expression" dxfId="39" priority="3">
      <formula>J3=""</formula>
    </cfRule>
  </conditionalFormatting>
  <conditionalFormatting sqref="M3:M4">
    <cfRule type="expression" dxfId="38" priority="2">
      <formula>N3=""</formula>
    </cfRule>
  </conditionalFormatting>
  <conditionalFormatting sqref="M6:M7">
    <cfRule type="expression" dxfId="37" priority="1">
      <formula>N6=""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80"/>
  <sheetViews>
    <sheetView workbookViewId="0">
      <pane xSplit="13" ySplit="1" topLeftCell="N32" activePane="bottomRight" state="frozen"/>
      <selection pane="topRight"/>
      <selection pane="bottomLeft"/>
      <selection pane="bottomRight" activeCell="C37" sqref="C37:N47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9.33203125" style="9" customWidth="1"/>
    <col min="10" max="10" width="12" style="9" customWidth="1"/>
    <col min="11" max="11" width="9.08203125" style="9" customWidth="1"/>
    <col min="12" max="12" width="8.5" style="9" customWidth="1"/>
    <col min="13" max="13" width="11.9140625" style="12" customWidth="1"/>
    <col min="14" max="14" width="12.6640625" style="8" customWidth="1"/>
    <col min="15" max="15" width="11.5" style="9" customWidth="1"/>
    <col min="16" max="17" width="10.25" style="9" customWidth="1"/>
    <col min="18" max="16384" width="8.6640625" style="9"/>
  </cols>
  <sheetData>
    <row r="1" spans="1:15" ht="40" customHeight="1">
      <c r="A1" s="576" t="s">
        <v>152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37"/>
    </row>
    <row r="2" spans="1:15" s="10" customFormat="1" ht="26.15" customHeight="1">
      <c r="A2" s="38" t="s">
        <v>1</v>
      </c>
      <c r="B2" s="39" t="s">
        <v>2</v>
      </c>
      <c r="C2" s="39" t="s">
        <v>3</v>
      </c>
      <c r="D2" s="40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105</v>
      </c>
      <c r="J2" s="39" t="s">
        <v>10</v>
      </c>
      <c r="K2" s="39" t="s">
        <v>11</v>
      </c>
      <c r="L2" s="39" t="s">
        <v>12</v>
      </c>
      <c r="M2" s="39" t="s">
        <v>13</v>
      </c>
      <c r="N2" s="41" t="s">
        <v>14</v>
      </c>
    </row>
    <row r="3" spans="1:15" s="34" customFormat="1" ht="26.15" customHeight="1">
      <c r="A3" s="563">
        <f>ROW()-2</f>
        <v>1</v>
      </c>
      <c r="B3" s="568" t="s">
        <v>15</v>
      </c>
      <c r="C3" s="98" t="s">
        <v>16</v>
      </c>
      <c r="D3" s="99">
        <v>135407</v>
      </c>
      <c r="E3" s="100">
        <v>1319.7</v>
      </c>
      <c r="F3" s="100">
        <v>1253.5</v>
      </c>
      <c r="G3" s="101">
        <v>60</v>
      </c>
      <c r="H3" s="101">
        <f t="shared" ref="H3:H34" si="0">(E3-F3)*G3</f>
        <v>3972.0000000000027</v>
      </c>
      <c r="I3" s="102">
        <v>1.1000000000000001</v>
      </c>
      <c r="J3" s="102">
        <f t="shared" ref="J3:J31" si="1">H3*I3</f>
        <v>4369.2000000000035</v>
      </c>
      <c r="K3" s="103"/>
      <c r="L3" s="104"/>
      <c r="M3" s="583">
        <f>J3+J4+K3+K4</f>
        <v>4999.5000000000036</v>
      </c>
      <c r="N3" s="551">
        <v>5000</v>
      </c>
    </row>
    <row r="4" spans="1:15" s="34" customFormat="1" ht="26.15" customHeight="1">
      <c r="A4" s="564"/>
      <c r="B4" s="569"/>
      <c r="C4" s="107" t="s">
        <v>17</v>
      </c>
      <c r="D4" s="108">
        <v>222933</v>
      </c>
      <c r="E4" s="109">
        <v>10400</v>
      </c>
      <c r="F4" s="109">
        <v>9827</v>
      </c>
      <c r="G4" s="109">
        <v>1</v>
      </c>
      <c r="H4" s="110">
        <f t="shared" si="0"/>
        <v>573</v>
      </c>
      <c r="I4" s="111">
        <v>1.1000000000000001</v>
      </c>
      <c r="J4" s="111">
        <f t="shared" si="1"/>
        <v>630.30000000000007</v>
      </c>
      <c r="K4" s="112"/>
      <c r="L4" s="113"/>
      <c r="M4" s="584"/>
      <c r="N4" s="552"/>
    </row>
    <row r="5" spans="1:15" ht="26.15" customHeight="1">
      <c r="A5" s="115">
        <v>2</v>
      </c>
      <c r="B5" s="116" t="s">
        <v>18</v>
      </c>
      <c r="C5" s="117" t="s">
        <v>16</v>
      </c>
      <c r="D5" s="118">
        <v>135406</v>
      </c>
      <c r="E5" s="119">
        <v>539.29999999999995</v>
      </c>
      <c r="F5" s="119">
        <v>517.5</v>
      </c>
      <c r="G5" s="120">
        <v>40</v>
      </c>
      <c r="H5" s="120">
        <f t="shared" si="0"/>
        <v>871.99999999999818</v>
      </c>
      <c r="I5" s="121">
        <v>1.1000000000000001</v>
      </c>
      <c r="J5" s="121">
        <f t="shared" si="1"/>
        <v>959.19999999999811</v>
      </c>
      <c r="K5" s="122"/>
      <c r="L5" s="123"/>
      <c r="M5" s="124">
        <f>J5+K5</f>
        <v>959.19999999999811</v>
      </c>
      <c r="N5" s="125">
        <v>959</v>
      </c>
      <c r="O5" s="68"/>
    </row>
    <row r="6" spans="1:15" s="34" customFormat="1" ht="26.15" customHeight="1">
      <c r="A6" s="565">
        <v>3</v>
      </c>
      <c r="B6" s="569" t="s">
        <v>20</v>
      </c>
      <c r="C6" s="107" t="s">
        <v>16</v>
      </c>
      <c r="D6" s="108">
        <v>135400</v>
      </c>
      <c r="E6" s="109">
        <v>14.3</v>
      </c>
      <c r="F6" s="109">
        <v>13.8</v>
      </c>
      <c r="G6" s="110">
        <v>40</v>
      </c>
      <c r="H6" s="110">
        <f t="shared" si="0"/>
        <v>20</v>
      </c>
      <c r="I6" s="111">
        <v>1.1000000000000001</v>
      </c>
      <c r="J6" s="111">
        <f t="shared" si="1"/>
        <v>22</v>
      </c>
      <c r="K6" s="112"/>
      <c r="L6" s="113"/>
      <c r="M6" s="584">
        <f>J6+J7+K6+K7</f>
        <v>73.7</v>
      </c>
      <c r="N6" s="552">
        <v>73.7</v>
      </c>
    </row>
    <row r="7" spans="1:15" s="34" customFormat="1" ht="26.15" customHeight="1">
      <c r="A7" s="564"/>
      <c r="B7" s="569"/>
      <c r="C7" s="107" t="s">
        <v>17</v>
      </c>
      <c r="D7" s="127" t="s">
        <v>21</v>
      </c>
      <c r="E7" s="110">
        <v>772</v>
      </c>
      <c r="F7" s="110">
        <v>725</v>
      </c>
      <c r="G7" s="110">
        <v>1</v>
      </c>
      <c r="H7" s="110">
        <f t="shared" si="0"/>
        <v>47</v>
      </c>
      <c r="I7" s="111">
        <v>1.1000000000000001</v>
      </c>
      <c r="J7" s="111">
        <f t="shared" si="1"/>
        <v>51.7</v>
      </c>
      <c r="K7" s="112"/>
      <c r="L7" s="113"/>
      <c r="M7" s="572"/>
      <c r="N7" s="552"/>
    </row>
    <row r="8" spans="1:15" ht="26.15" customHeight="1">
      <c r="A8" s="115">
        <v>4</v>
      </c>
      <c r="B8" s="116" t="s">
        <v>22</v>
      </c>
      <c r="C8" s="117" t="s">
        <v>16</v>
      </c>
      <c r="D8" s="118">
        <v>135405</v>
      </c>
      <c r="E8" s="119">
        <v>441</v>
      </c>
      <c r="F8" s="119">
        <v>417.2</v>
      </c>
      <c r="G8" s="120">
        <v>40</v>
      </c>
      <c r="H8" s="120">
        <f t="shared" si="0"/>
        <v>952.00000000000045</v>
      </c>
      <c r="I8" s="121">
        <v>1.1000000000000001</v>
      </c>
      <c r="J8" s="121">
        <f t="shared" si="1"/>
        <v>1047.2000000000005</v>
      </c>
      <c r="K8" s="122"/>
      <c r="L8" s="123"/>
      <c r="M8" s="121">
        <f>J8+K8</f>
        <v>1047.2000000000005</v>
      </c>
      <c r="N8" s="93">
        <v>1047</v>
      </c>
      <c r="O8" s="68"/>
    </row>
    <row r="9" spans="1:15" s="34" customFormat="1" ht="26.15" customHeight="1">
      <c r="A9" s="126">
        <v>5</v>
      </c>
      <c r="B9" s="106" t="s">
        <v>23</v>
      </c>
      <c r="C9" s="107" t="s">
        <v>16</v>
      </c>
      <c r="D9" s="108">
        <v>135401</v>
      </c>
      <c r="E9" s="109">
        <v>84.4</v>
      </c>
      <c r="F9" s="109">
        <v>78.400000000000006</v>
      </c>
      <c r="G9" s="110">
        <v>20</v>
      </c>
      <c r="H9" s="110">
        <f t="shared" si="0"/>
        <v>120</v>
      </c>
      <c r="I9" s="111">
        <v>1.1000000000000001</v>
      </c>
      <c r="J9" s="111">
        <f t="shared" si="1"/>
        <v>132</v>
      </c>
      <c r="K9" s="112"/>
      <c r="L9" s="113"/>
      <c r="M9" s="111">
        <f>J9+K9</f>
        <v>132</v>
      </c>
      <c r="N9" s="128">
        <v>132</v>
      </c>
    </row>
    <row r="10" spans="1:15" ht="26.15" customHeight="1">
      <c r="A10" s="566">
        <v>6</v>
      </c>
      <c r="B10" s="570" t="s">
        <v>24</v>
      </c>
      <c r="C10" s="117" t="s">
        <v>25</v>
      </c>
      <c r="D10" s="118">
        <v>135402</v>
      </c>
      <c r="E10" s="119">
        <v>697.7</v>
      </c>
      <c r="F10" s="119">
        <v>649.9</v>
      </c>
      <c r="G10" s="120">
        <v>20</v>
      </c>
      <c r="H10" s="120">
        <f t="shared" si="0"/>
        <v>956.00000000000136</v>
      </c>
      <c r="I10" s="121">
        <v>1.1000000000000001</v>
      </c>
      <c r="J10" s="121">
        <f t="shared" si="1"/>
        <v>1051.6000000000015</v>
      </c>
      <c r="K10" s="122"/>
      <c r="L10" s="123"/>
      <c r="M10" s="585">
        <f>J10+J11+K10+K11</f>
        <v>1786.400000000001</v>
      </c>
      <c r="N10" s="553">
        <v>1786</v>
      </c>
    </row>
    <row r="11" spans="1:15" ht="26.15" customHeight="1">
      <c r="A11" s="567"/>
      <c r="B11" s="570"/>
      <c r="C11" s="117" t="s">
        <v>26</v>
      </c>
      <c r="D11" s="118">
        <v>135408</v>
      </c>
      <c r="E11" s="119">
        <v>279.5</v>
      </c>
      <c r="F11" s="119">
        <v>262.8</v>
      </c>
      <c r="G11" s="120">
        <v>40</v>
      </c>
      <c r="H11" s="120">
        <f t="shared" si="0"/>
        <v>667.99999999999955</v>
      </c>
      <c r="I11" s="121">
        <v>1.1000000000000001</v>
      </c>
      <c r="J11" s="121">
        <f t="shared" si="1"/>
        <v>734.79999999999961</v>
      </c>
      <c r="K11" s="122"/>
      <c r="L11" s="123"/>
      <c r="M11" s="586"/>
      <c r="N11" s="553"/>
    </row>
    <row r="12" spans="1:15" s="34" customFormat="1" ht="26.15" customHeight="1">
      <c r="A12" s="126">
        <v>7</v>
      </c>
      <c r="B12" s="106" t="s">
        <v>27</v>
      </c>
      <c r="C12" s="107" t="s">
        <v>16</v>
      </c>
      <c r="D12" s="108">
        <v>136866</v>
      </c>
      <c r="E12" s="109">
        <v>258.10000000000002</v>
      </c>
      <c r="F12" s="109">
        <v>248.7</v>
      </c>
      <c r="G12" s="110">
        <v>20</v>
      </c>
      <c r="H12" s="110">
        <f t="shared" si="0"/>
        <v>188.00000000000068</v>
      </c>
      <c r="I12" s="111">
        <v>1.1000000000000001</v>
      </c>
      <c r="J12" s="111">
        <f t="shared" si="1"/>
        <v>206.80000000000078</v>
      </c>
      <c r="K12" s="112"/>
      <c r="L12" s="113"/>
      <c r="M12" s="111">
        <f>J12+K12</f>
        <v>206.80000000000078</v>
      </c>
      <c r="N12" s="128">
        <v>207</v>
      </c>
    </row>
    <row r="13" spans="1:15" ht="26.15" customHeight="1">
      <c r="A13" s="115">
        <v>8</v>
      </c>
      <c r="B13" s="116" t="s">
        <v>28</v>
      </c>
      <c r="C13" s="117" t="s">
        <v>16</v>
      </c>
      <c r="D13" s="130">
        <v>135847</v>
      </c>
      <c r="E13" s="119">
        <v>226.5</v>
      </c>
      <c r="F13" s="119">
        <v>218.3</v>
      </c>
      <c r="G13" s="120">
        <v>40</v>
      </c>
      <c r="H13" s="120">
        <f t="shared" si="0"/>
        <v>327.99999999999955</v>
      </c>
      <c r="I13" s="121">
        <v>1.1000000000000001</v>
      </c>
      <c r="J13" s="121">
        <f t="shared" si="1"/>
        <v>360.79999999999956</v>
      </c>
      <c r="K13" s="122"/>
      <c r="L13" s="123"/>
      <c r="M13" s="121">
        <f>J13+K13</f>
        <v>360.79999999999956</v>
      </c>
      <c r="N13" s="93">
        <v>360</v>
      </c>
      <c r="O13" s="74"/>
    </row>
    <row r="14" spans="1:15" s="34" customFormat="1" ht="26.15" customHeight="1">
      <c r="A14" s="126">
        <v>9</v>
      </c>
      <c r="B14" s="106" t="s">
        <v>29</v>
      </c>
      <c r="C14" s="107" t="s">
        <v>16</v>
      </c>
      <c r="D14" s="108">
        <v>135848</v>
      </c>
      <c r="E14" s="109">
        <v>783.2</v>
      </c>
      <c r="F14" s="109">
        <v>722.7</v>
      </c>
      <c r="G14" s="131">
        <v>40</v>
      </c>
      <c r="H14" s="110">
        <f t="shared" si="0"/>
        <v>2420</v>
      </c>
      <c r="I14" s="111">
        <v>1.1000000000000001</v>
      </c>
      <c r="J14" s="111">
        <f t="shared" si="1"/>
        <v>2662</v>
      </c>
      <c r="K14" s="112"/>
      <c r="L14" s="113"/>
      <c r="M14" s="111">
        <f>J14+K14</f>
        <v>2662</v>
      </c>
      <c r="N14" s="128">
        <v>2662</v>
      </c>
    </row>
    <row r="15" spans="1:15" ht="26.15" customHeight="1">
      <c r="A15" s="566">
        <v>10</v>
      </c>
      <c r="B15" s="570" t="s">
        <v>31</v>
      </c>
      <c r="C15" s="571" t="s">
        <v>16</v>
      </c>
      <c r="D15" s="118">
        <v>135846</v>
      </c>
      <c r="E15" s="119">
        <v>721.1</v>
      </c>
      <c r="F15" s="119">
        <v>678.9</v>
      </c>
      <c r="G15" s="132">
        <v>40</v>
      </c>
      <c r="H15" s="120">
        <f t="shared" si="0"/>
        <v>1688.0000000000018</v>
      </c>
      <c r="I15" s="121">
        <v>1.1000000000000001</v>
      </c>
      <c r="J15" s="121">
        <f t="shared" si="1"/>
        <v>1856.8000000000022</v>
      </c>
      <c r="K15" s="122"/>
      <c r="L15" s="123"/>
      <c r="M15" s="574">
        <f>J15+K15+J16+K16</f>
        <v>2200.0000000000023</v>
      </c>
      <c r="N15" s="553">
        <v>2200</v>
      </c>
    </row>
    <row r="16" spans="1:15" ht="26.15" customHeight="1">
      <c r="A16" s="567"/>
      <c r="B16" s="570"/>
      <c r="C16" s="571"/>
      <c r="D16" s="134">
        <v>135379</v>
      </c>
      <c r="E16" s="123">
        <v>24.7</v>
      </c>
      <c r="F16" s="123">
        <v>20.8</v>
      </c>
      <c r="G16" s="123">
        <v>80</v>
      </c>
      <c r="H16" s="123">
        <f t="shared" si="0"/>
        <v>311.99999999999989</v>
      </c>
      <c r="I16" s="121">
        <v>1.1000000000000001</v>
      </c>
      <c r="J16" s="121">
        <f t="shared" si="1"/>
        <v>343.19999999999987</v>
      </c>
      <c r="K16" s="122"/>
      <c r="L16" s="123"/>
      <c r="M16" s="574"/>
      <c r="N16" s="553"/>
    </row>
    <row r="17" spans="1:17" s="34" customFormat="1" ht="26.15" customHeight="1">
      <c r="A17" s="105">
        <v>11</v>
      </c>
      <c r="B17" s="106" t="s">
        <v>32</v>
      </c>
      <c r="C17" s="107" t="s">
        <v>16</v>
      </c>
      <c r="D17" s="108">
        <v>135845</v>
      </c>
      <c r="E17" s="109">
        <v>476.5</v>
      </c>
      <c r="F17" s="109">
        <v>448.8</v>
      </c>
      <c r="G17" s="131">
        <v>40</v>
      </c>
      <c r="H17" s="110">
        <f t="shared" si="0"/>
        <v>1107.9999999999995</v>
      </c>
      <c r="I17" s="111">
        <v>1.1000000000000001</v>
      </c>
      <c r="J17" s="111">
        <f t="shared" si="1"/>
        <v>1218.7999999999995</v>
      </c>
      <c r="K17" s="112"/>
      <c r="L17" s="113"/>
      <c r="M17" s="111">
        <f t="shared" ref="M17:M29" si="2">J17+K17</f>
        <v>1218.7999999999995</v>
      </c>
      <c r="N17" s="135">
        <v>1218</v>
      </c>
      <c r="O17" s="78"/>
      <c r="P17" s="71"/>
      <c r="Q17" s="79"/>
    </row>
    <row r="18" spans="1:17" ht="26.15" customHeight="1">
      <c r="A18" s="133">
        <v>12</v>
      </c>
      <c r="B18" s="116" t="s">
        <v>33</v>
      </c>
      <c r="C18" s="117" t="s">
        <v>16</v>
      </c>
      <c r="D18" s="130">
        <v>135844</v>
      </c>
      <c r="E18" s="119">
        <v>68.2</v>
      </c>
      <c r="F18" s="119">
        <v>62.3</v>
      </c>
      <c r="G18" s="136">
        <v>30</v>
      </c>
      <c r="H18" s="120">
        <f t="shared" si="0"/>
        <v>177.00000000000017</v>
      </c>
      <c r="I18" s="121">
        <v>1.1000000000000001</v>
      </c>
      <c r="J18" s="121">
        <f t="shared" si="1"/>
        <v>194.70000000000022</v>
      </c>
      <c r="K18" s="122"/>
      <c r="L18" s="123"/>
      <c r="M18" s="121">
        <f t="shared" si="2"/>
        <v>194.70000000000022</v>
      </c>
      <c r="N18" s="93">
        <v>194.7</v>
      </c>
      <c r="O18" s="74"/>
    </row>
    <row r="19" spans="1:17" s="34" customFormat="1" ht="26.15" customHeight="1">
      <c r="A19" s="105">
        <v>13</v>
      </c>
      <c r="B19" s="106" t="s">
        <v>34</v>
      </c>
      <c r="C19" s="107" t="s">
        <v>16</v>
      </c>
      <c r="D19" s="137">
        <v>135844</v>
      </c>
      <c r="E19" s="109">
        <v>85.6</v>
      </c>
      <c r="F19" s="109">
        <v>77.5</v>
      </c>
      <c r="G19" s="138">
        <v>30</v>
      </c>
      <c r="H19" s="110">
        <f t="shared" si="0"/>
        <v>242.99999999999983</v>
      </c>
      <c r="I19" s="111">
        <v>1.1000000000000001</v>
      </c>
      <c r="J19" s="111">
        <f t="shared" si="1"/>
        <v>267.29999999999984</v>
      </c>
      <c r="K19" s="112"/>
      <c r="L19" s="113"/>
      <c r="M19" s="111">
        <f t="shared" si="2"/>
        <v>267.29999999999984</v>
      </c>
      <c r="N19" s="128">
        <v>267.3</v>
      </c>
      <c r="O19" s="83"/>
    </row>
    <row r="20" spans="1:17" ht="26.15" customHeight="1">
      <c r="A20" s="133">
        <v>14</v>
      </c>
      <c r="B20" s="116" t="s">
        <v>35</v>
      </c>
      <c r="C20" s="117" t="s">
        <v>16</v>
      </c>
      <c r="D20" s="130">
        <v>135850</v>
      </c>
      <c r="E20" s="119">
        <v>215.3</v>
      </c>
      <c r="F20" s="119">
        <v>207</v>
      </c>
      <c r="G20" s="136">
        <v>30</v>
      </c>
      <c r="H20" s="120">
        <f t="shared" si="0"/>
        <v>249.00000000000034</v>
      </c>
      <c r="I20" s="121">
        <v>1.1000000000000001</v>
      </c>
      <c r="J20" s="121">
        <f t="shared" si="1"/>
        <v>273.90000000000038</v>
      </c>
      <c r="K20" s="122"/>
      <c r="L20" s="123"/>
      <c r="M20" s="121">
        <f t="shared" si="2"/>
        <v>273.90000000000038</v>
      </c>
      <c r="N20" s="93">
        <v>273</v>
      </c>
      <c r="O20" s="74"/>
    </row>
    <row r="21" spans="1:17" s="34" customFormat="1" ht="26.15" customHeight="1">
      <c r="A21" s="105">
        <v>15</v>
      </c>
      <c r="B21" s="106" t="s">
        <v>36</v>
      </c>
      <c r="C21" s="107" t="s">
        <v>16</v>
      </c>
      <c r="D21" s="108">
        <v>135358</v>
      </c>
      <c r="E21" s="109">
        <v>233.3</v>
      </c>
      <c r="F21" s="109">
        <v>222.4</v>
      </c>
      <c r="G21" s="131">
        <v>40</v>
      </c>
      <c r="H21" s="110">
        <f t="shared" si="0"/>
        <v>436.00000000000023</v>
      </c>
      <c r="I21" s="111">
        <v>1.1000000000000001</v>
      </c>
      <c r="J21" s="111">
        <f t="shared" si="1"/>
        <v>479.60000000000031</v>
      </c>
      <c r="K21" s="112"/>
      <c r="L21" s="113"/>
      <c r="M21" s="111">
        <f t="shared" si="2"/>
        <v>479.60000000000031</v>
      </c>
      <c r="N21" s="128">
        <v>479.6</v>
      </c>
      <c r="O21" s="83"/>
    </row>
    <row r="22" spans="1:17" ht="26.15" customHeight="1">
      <c r="A22" s="133">
        <v>16</v>
      </c>
      <c r="B22" s="116" t="s">
        <v>126</v>
      </c>
      <c r="C22" s="117" t="s">
        <v>16</v>
      </c>
      <c r="D22" s="130">
        <v>135380</v>
      </c>
      <c r="E22" s="119">
        <v>332.1</v>
      </c>
      <c r="F22" s="119">
        <v>311.39999999999998</v>
      </c>
      <c r="G22" s="136">
        <v>40</v>
      </c>
      <c r="H22" s="120">
        <f t="shared" si="0"/>
        <v>828.00000000000182</v>
      </c>
      <c r="I22" s="121">
        <v>1.1000000000000001</v>
      </c>
      <c r="J22" s="121">
        <f t="shared" si="1"/>
        <v>910.80000000000211</v>
      </c>
      <c r="K22" s="122"/>
      <c r="L22" s="123"/>
      <c r="M22" s="121">
        <f t="shared" si="2"/>
        <v>910.80000000000211</v>
      </c>
      <c r="N22" s="93">
        <v>910</v>
      </c>
      <c r="Q22" s="84"/>
    </row>
    <row r="23" spans="1:17" s="34" customFormat="1" ht="26.15" customHeight="1">
      <c r="A23" s="105">
        <v>17</v>
      </c>
      <c r="B23" s="106" t="s">
        <v>38</v>
      </c>
      <c r="C23" s="107" t="s">
        <v>16</v>
      </c>
      <c r="D23" s="108">
        <v>135376</v>
      </c>
      <c r="E23" s="109">
        <v>39.6</v>
      </c>
      <c r="F23" s="109">
        <v>36.700000000000003</v>
      </c>
      <c r="G23" s="131">
        <v>40</v>
      </c>
      <c r="H23" s="110">
        <f t="shared" si="0"/>
        <v>115.99999999999994</v>
      </c>
      <c r="I23" s="111">
        <v>1.1000000000000001</v>
      </c>
      <c r="J23" s="111">
        <f t="shared" si="1"/>
        <v>127.59999999999995</v>
      </c>
      <c r="K23" s="112"/>
      <c r="L23" s="113"/>
      <c r="M23" s="111">
        <f t="shared" si="2"/>
        <v>127.59999999999995</v>
      </c>
      <c r="N23" s="128">
        <v>128</v>
      </c>
      <c r="O23" s="83"/>
    </row>
    <row r="24" spans="1:17" ht="26.15" customHeight="1">
      <c r="A24" s="133">
        <v>18</v>
      </c>
      <c r="B24" s="116" t="s">
        <v>39</v>
      </c>
      <c r="C24" s="117" t="s">
        <v>16</v>
      </c>
      <c r="D24" s="139" t="s">
        <v>40</v>
      </c>
      <c r="E24" s="119">
        <v>617</v>
      </c>
      <c r="F24" s="119">
        <v>561</v>
      </c>
      <c r="G24" s="132">
        <v>1</v>
      </c>
      <c r="H24" s="120">
        <f t="shared" si="0"/>
        <v>56</v>
      </c>
      <c r="I24" s="121">
        <v>1.1000000000000001</v>
      </c>
      <c r="J24" s="121">
        <f t="shared" si="1"/>
        <v>61.600000000000009</v>
      </c>
      <c r="K24" s="122"/>
      <c r="L24" s="123"/>
      <c r="M24" s="121">
        <f t="shared" si="2"/>
        <v>61.600000000000009</v>
      </c>
      <c r="N24" s="93">
        <v>61.6</v>
      </c>
    </row>
    <row r="25" spans="1:17" s="34" customFormat="1" ht="26.15" customHeight="1">
      <c r="A25" s="105">
        <v>19</v>
      </c>
      <c r="B25" s="106" t="s">
        <v>41</v>
      </c>
      <c r="C25" s="107" t="s">
        <v>16</v>
      </c>
      <c r="D25" s="108" t="s">
        <v>42</v>
      </c>
      <c r="E25" s="109">
        <v>2750</v>
      </c>
      <c r="F25" s="109">
        <v>2494</v>
      </c>
      <c r="G25" s="131">
        <v>1</v>
      </c>
      <c r="H25" s="110">
        <f t="shared" si="0"/>
        <v>256</v>
      </c>
      <c r="I25" s="111">
        <v>1.1000000000000001</v>
      </c>
      <c r="J25" s="111">
        <f t="shared" si="1"/>
        <v>281.60000000000002</v>
      </c>
      <c r="K25" s="112"/>
      <c r="L25" s="113"/>
      <c r="M25" s="111">
        <f t="shared" si="2"/>
        <v>281.60000000000002</v>
      </c>
      <c r="N25" s="128">
        <v>281.60000000000002</v>
      </c>
      <c r="O25" s="83"/>
    </row>
    <row r="26" spans="1:17" ht="26.15" customHeight="1">
      <c r="A26" s="133">
        <v>20</v>
      </c>
      <c r="B26" s="116" t="s">
        <v>43</v>
      </c>
      <c r="C26" s="117" t="s">
        <v>16</v>
      </c>
      <c r="D26" s="118">
        <v>281917</v>
      </c>
      <c r="E26" s="119">
        <v>77.8</v>
      </c>
      <c r="F26" s="119">
        <v>68</v>
      </c>
      <c r="G26" s="132">
        <v>100</v>
      </c>
      <c r="H26" s="120">
        <f t="shared" si="0"/>
        <v>979.99999999999977</v>
      </c>
      <c r="I26" s="121">
        <v>1.1000000000000001</v>
      </c>
      <c r="J26" s="121">
        <f t="shared" si="1"/>
        <v>1077.9999999999998</v>
      </c>
      <c r="K26" s="122"/>
      <c r="L26" s="123"/>
      <c r="M26" s="121">
        <f t="shared" si="2"/>
        <v>1077.9999999999998</v>
      </c>
      <c r="N26" s="93">
        <v>1078</v>
      </c>
    </row>
    <row r="27" spans="1:17" s="34" customFormat="1" ht="26.15" customHeight="1">
      <c r="A27" s="105">
        <v>21</v>
      </c>
      <c r="B27" s="106" t="s">
        <v>44</v>
      </c>
      <c r="C27" s="107" t="s">
        <v>16</v>
      </c>
      <c r="D27" s="108">
        <v>136865</v>
      </c>
      <c r="E27" s="109">
        <v>343.6</v>
      </c>
      <c r="F27" s="109">
        <v>327</v>
      </c>
      <c r="G27" s="131">
        <v>20</v>
      </c>
      <c r="H27" s="110">
        <f t="shared" si="0"/>
        <v>332.00000000000045</v>
      </c>
      <c r="I27" s="111">
        <v>1.1000000000000001</v>
      </c>
      <c r="J27" s="111">
        <f t="shared" si="1"/>
        <v>365.20000000000056</v>
      </c>
      <c r="K27" s="112"/>
      <c r="L27" s="113"/>
      <c r="M27" s="111">
        <f t="shared" si="2"/>
        <v>365.20000000000056</v>
      </c>
      <c r="N27" s="128">
        <v>365.2</v>
      </c>
    </row>
    <row r="28" spans="1:17" ht="26.15" customHeight="1">
      <c r="A28" s="133">
        <v>22</v>
      </c>
      <c r="B28" s="116" t="s">
        <v>46</v>
      </c>
      <c r="C28" s="117" t="s">
        <v>16</v>
      </c>
      <c r="D28" s="118">
        <v>121780</v>
      </c>
      <c r="E28" s="119">
        <v>76.7</v>
      </c>
      <c r="F28" s="119">
        <v>70</v>
      </c>
      <c r="G28" s="132">
        <v>20</v>
      </c>
      <c r="H28" s="120">
        <f t="shared" si="0"/>
        <v>134.00000000000006</v>
      </c>
      <c r="I28" s="121">
        <v>1.1000000000000001</v>
      </c>
      <c r="J28" s="121">
        <f t="shared" si="1"/>
        <v>147.40000000000006</v>
      </c>
      <c r="K28" s="122"/>
      <c r="L28" s="123"/>
      <c r="M28" s="121">
        <f t="shared" si="2"/>
        <v>147.40000000000006</v>
      </c>
      <c r="N28" s="93">
        <v>148</v>
      </c>
      <c r="O28" s="74"/>
    </row>
    <row r="29" spans="1:17" s="34" customFormat="1" ht="26.15" customHeight="1">
      <c r="A29" s="105">
        <v>23</v>
      </c>
      <c r="B29" s="106" t="s">
        <v>47</v>
      </c>
      <c r="C29" s="107" t="s">
        <v>16</v>
      </c>
      <c r="D29" s="108">
        <v>135940</v>
      </c>
      <c r="E29" s="109">
        <v>49.6</v>
      </c>
      <c r="F29" s="109">
        <v>44.7</v>
      </c>
      <c r="G29" s="131">
        <v>30</v>
      </c>
      <c r="H29" s="110">
        <f t="shared" si="0"/>
        <v>146.99999999999994</v>
      </c>
      <c r="I29" s="111">
        <v>1.1000000000000001</v>
      </c>
      <c r="J29" s="111">
        <f t="shared" si="1"/>
        <v>161.69999999999996</v>
      </c>
      <c r="K29" s="112"/>
      <c r="L29" s="113"/>
      <c r="M29" s="111">
        <f t="shared" si="2"/>
        <v>161.69999999999996</v>
      </c>
      <c r="N29" s="128">
        <v>162</v>
      </c>
    </row>
    <row r="30" spans="1:17" ht="26.15" customHeight="1">
      <c r="A30" s="133">
        <v>24</v>
      </c>
      <c r="B30" s="116" t="s">
        <v>48</v>
      </c>
      <c r="C30" s="117" t="s">
        <v>16</v>
      </c>
      <c r="D30" s="139">
        <v>121780</v>
      </c>
      <c r="E30" s="120">
        <v>3253.7</v>
      </c>
      <c r="F30" s="120">
        <v>2997.5</v>
      </c>
      <c r="G30" s="120">
        <v>30</v>
      </c>
      <c r="H30" s="120">
        <f t="shared" si="0"/>
        <v>7685.9999999999945</v>
      </c>
      <c r="I30" s="121">
        <v>1.1000000000000001</v>
      </c>
      <c r="J30" s="121">
        <f t="shared" si="1"/>
        <v>8454.5999999999949</v>
      </c>
      <c r="K30" s="123"/>
      <c r="L30" s="123"/>
      <c r="M30" s="121">
        <v>0</v>
      </c>
      <c r="N30" s="125"/>
    </row>
    <row r="31" spans="1:17" s="34" customFormat="1" ht="26.15" customHeight="1">
      <c r="A31" s="105">
        <v>25</v>
      </c>
      <c r="B31" s="106" t="s">
        <v>49</v>
      </c>
      <c r="C31" s="107" t="s">
        <v>16</v>
      </c>
      <c r="D31" s="140">
        <v>134768</v>
      </c>
      <c r="E31" s="110">
        <v>938.3</v>
      </c>
      <c r="F31" s="110">
        <v>839.3</v>
      </c>
      <c r="G31" s="110">
        <v>80</v>
      </c>
      <c r="H31" s="110">
        <f t="shared" si="0"/>
        <v>7920</v>
      </c>
      <c r="I31" s="111">
        <v>1.1000000000000001</v>
      </c>
      <c r="J31" s="111">
        <f t="shared" si="1"/>
        <v>8712</v>
      </c>
      <c r="K31" s="112"/>
      <c r="L31" s="113"/>
      <c r="M31" s="111">
        <f>J31+K31</f>
        <v>8712</v>
      </c>
      <c r="N31" s="114">
        <v>8712</v>
      </c>
    </row>
    <row r="32" spans="1:17" ht="26.15" customHeight="1">
      <c r="A32" s="133">
        <v>26</v>
      </c>
      <c r="B32" s="581" t="s">
        <v>111</v>
      </c>
      <c r="C32" s="117" t="s">
        <v>17</v>
      </c>
      <c r="D32" s="139"/>
      <c r="E32" s="120">
        <v>24</v>
      </c>
      <c r="F32" s="120">
        <v>0</v>
      </c>
      <c r="G32" s="120">
        <v>1</v>
      </c>
      <c r="H32" s="120">
        <f t="shared" si="0"/>
        <v>24</v>
      </c>
      <c r="I32" s="121">
        <v>1.1000000000000001</v>
      </c>
      <c r="J32" s="121">
        <v>26.4</v>
      </c>
      <c r="K32" s="123">
        <v>12</v>
      </c>
      <c r="L32" s="123" t="s">
        <v>153</v>
      </c>
      <c r="M32" s="585">
        <f>J32+K32+J33+K33</f>
        <v>4165.5999999999985</v>
      </c>
      <c r="N32" s="579">
        <v>4165.6000000000004</v>
      </c>
    </row>
    <row r="33" spans="1:16" ht="26.15" customHeight="1">
      <c r="A33" s="133">
        <v>27</v>
      </c>
      <c r="B33" s="582"/>
      <c r="C33" s="117" t="s">
        <v>16</v>
      </c>
      <c r="D33" s="139">
        <v>135939</v>
      </c>
      <c r="E33" s="120">
        <v>113.3</v>
      </c>
      <c r="F33" s="120">
        <v>66.400000000000006</v>
      </c>
      <c r="G33" s="120">
        <v>80</v>
      </c>
      <c r="H33" s="120">
        <f t="shared" si="0"/>
        <v>3751.9999999999991</v>
      </c>
      <c r="I33" s="121">
        <v>1.1000000000000001</v>
      </c>
      <c r="J33" s="121">
        <f>H33*I33</f>
        <v>4127.1999999999989</v>
      </c>
      <c r="K33" s="123"/>
      <c r="L33" s="123"/>
      <c r="M33" s="586"/>
      <c r="N33" s="580"/>
    </row>
    <row r="34" spans="1:16" s="34" customFormat="1" ht="26.15" customHeight="1">
      <c r="A34" s="105">
        <v>28</v>
      </c>
      <c r="B34" s="106" t="s">
        <v>127</v>
      </c>
      <c r="C34" s="142" t="s">
        <v>16</v>
      </c>
      <c r="D34" s="113" t="s">
        <v>128</v>
      </c>
      <c r="E34" s="113">
        <v>39.4</v>
      </c>
      <c r="F34" s="113">
        <v>17.100000000000001</v>
      </c>
      <c r="G34" s="113">
        <v>80</v>
      </c>
      <c r="H34" s="113">
        <f t="shared" si="0"/>
        <v>1783.9999999999998</v>
      </c>
      <c r="I34" s="111">
        <v>1.1000000000000001</v>
      </c>
      <c r="J34" s="111">
        <f>H34*I34</f>
        <v>1962.3999999999999</v>
      </c>
      <c r="K34" s="113"/>
      <c r="L34" s="113"/>
      <c r="M34" s="111">
        <f>J34+K34</f>
        <v>1962.3999999999999</v>
      </c>
      <c r="N34" s="114">
        <v>1962</v>
      </c>
      <c r="O34" s="79">
        <f>N34-M34</f>
        <v>-0.39999999999986358</v>
      </c>
    </row>
    <row r="35" spans="1:16" ht="26.15" customHeight="1">
      <c r="A35" s="559" t="s">
        <v>51</v>
      </c>
      <c r="B35" s="560"/>
      <c r="C35" s="560"/>
      <c r="D35" s="560"/>
      <c r="E35" s="560"/>
      <c r="F35" s="560"/>
      <c r="G35" s="560"/>
      <c r="H35" s="560"/>
      <c r="I35" s="560"/>
      <c r="J35" s="145">
        <f>SUM(J3:J34)</f>
        <v>43278.400000000001</v>
      </c>
      <c r="K35" s="578"/>
      <c r="L35" s="578"/>
      <c r="M35" s="146">
        <f>SUM(M3:M34)</f>
        <v>34835.80000000001</v>
      </c>
      <c r="N35" s="147">
        <f>SUM(N3:N34)</f>
        <v>34833.299999999996</v>
      </c>
      <c r="O35" s="68">
        <f>M35-M30</f>
        <v>34835.80000000001</v>
      </c>
    </row>
    <row r="36" spans="1:16" ht="26.15" customHeight="1">
      <c r="A36" s="559" t="s">
        <v>112</v>
      </c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148">
        <v>-1895</v>
      </c>
    </row>
    <row r="37" spans="1:16" ht="26.15" customHeight="1">
      <c r="A37" s="554" t="s">
        <v>117</v>
      </c>
      <c r="B37" s="555"/>
      <c r="C37" s="557" t="s">
        <v>154</v>
      </c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93">
        <v>-34.700000000000003</v>
      </c>
    </row>
    <row r="38" spans="1:16" ht="26.15" customHeight="1">
      <c r="A38" s="556"/>
      <c r="B38" s="555"/>
      <c r="C38" s="557" t="s">
        <v>143</v>
      </c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93">
        <v>-70</v>
      </c>
    </row>
    <row r="39" spans="1:16" ht="26.15" customHeight="1">
      <c r="A39" s="556"/>
      <c r="B39" s="555"/>
      <c r="C39" s="557" t="s">
        <v>155</v>
      </c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93">
        <v>-27310.52</v>
      </c>
    </row>
    <row r="40" spans="1:16" ht="26.15" customHeight="1">
      <c r="A40" s="556"/>
      <c r="B40" s="555"/>
      <c r="C40" s="557" t="s">
        <v>156</v>
      </c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93">
        <v>-20</v>
      </c>
      <c r="P40" s="9" t="s">
        <v>157</v>
      </c>
    </row>
    <row r="41" spans="1:16" ht="26.15" customHeight="1">
      <c r="A41" s="556"/>
      <c r="B41" s="555"/>
      <c r="C41" s="557" t="s">
        <v>158</v>
      </c>
      <c r="D41" s="558"/>
      <c r="E41" s="558"/>
      <c r="F41" s="558"/>
      <c r="G41" s="558"/>
      <c r="H41" s="558"/>
      <c r="I41" s="558"/>
      <c r="J41" s="558"/>
      <c r="K41" s="558"/>
      <c r="L41" s="558"/>
      <c r="M41" s="558"/>
      <c r="N41" s="93">
        <v>-40.619999999999997</v>
      </c>
    </row>
    <row r="42" spans="1:16" ht="26.15" customHeight="1">
      <c r="A42" s="556"/>
      <c r="B42" s="555"/>
      <c r="C42" s="557" t="s">
        <v>159</v>
      </c>
      <c r="D42" s="558"/>
      <c r="E42" s="558"/>
      <c r="F42" s="558"/>
      <c r="G42" s="558"/>
      <c r="H42" s="558"/>
      <c r="I42" s="558"/>
      <c r="J42" s="558"/>
      <c r="K42" s="558"/>
      <c r="L42" s="558"/>
      <c r="M42" s="558"/>
      <c r="N42" s="93">
        <v>-35.51</v>
      </c>
    </row>
    <row r="43" spans="1:16" ht="26.15" customHeight="1">
      <c r="A43" s="556"/>
      <c r="B43" s="555"/>
      <c r="C43" s="557" t="s">
        <v>160</v>
      </c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93">
        <v>-360</v>
      </c>
    </row>
    <row r="44" spans="1:16" ht="26.15" customHeight="1">
      <c r="A44" s="556"/>
      <c r="B44" s="555"/>
      <c r="C44" s="575" t="s">
        <v>161</v>
      </c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93">
        <v>-471</v>
      </c>
    </row>
    <row r="45" spans="1:16" ht="26.15" customHeight="1">
      <c r="A45" s="556"/>
      <c r="B45" s="555"/>
      <c r="C45" s="557" t="s">
        <v>162</v>
      </c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93">
        <v>-24.9</v>
      </c>
    </row>
    <row r="46" spans="1:16" ht="26.15" customHeight="1">
      <c r="A46" s="556"/>
      <c r="B46" s="555"/>
      <c r="C46" s="557" t="s">
        <v>163</v>
      </c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93">
        <f>'2025年9月电费'!N47</f>
        <v>-828.31000000000495</v>
      </c>
    </row>
    <row r="47" spans="1:16" ht="26.15" customHeight="1">
      <c r="A47" s="556"/>
      <c r="B47" s="555"/>
      <c r="C47" s="557" t="s">
        <v>164</v>
      </c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93">
        <v>-188.84</v>
      </c>
    </row>
    <row r="48" spans="1:16" s="8" customFormat="1" ht="26.15" customHeight="1">
      <c r="A48" s="559" t="s">
        <v>140</v>
      </c>
      <c r="B48" s="560"/>
      <c r="C48" s="561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150">
        <f>N35+SUM(N36:N47)</f>
        <v>3553.8999999999905</v>
      </c>
      <c r="O48" s="9"/>
    </row>
    <row r="49" spans="1:15" s="8" customFormat="1" ht="26.15" customHeight="1">
      <c r="A49" s="151"/>
      <c r="B49" s="152"/>
      <c r="C49" s="153"/>
      <c r="D49" s="154"/>
      <c r="E49" s="155"/>
      <c r="F49" s="155"/>
      <c r="G49" s="155"/>
      <c r="H49" s="155"/>
      <c r="I49" s="156"/>
      <c r="J49" s="156"/>
      <c r="K49" s="156"/>
      <c r="L49" s="156"/>
      <c r="M49" s="155"/>
      <c r="N49" s="157"/>
      <c r="O49" s="9"/>
    </row>
    <row r="50" spans="1:15" s="8" customFormat="1" ht="26.15" customHeight="1">
      <c r="A50" s="10"/>
      <c r="B50" s="10"/>
      <c r="C50" s="10"/>
      <c r="D50" s="35"/>
      <c r="E50" s="12"/>
      <c r="F50" s="12"/>
      <c r="G50" s="12"/>
      <c r="H50" s="12"/>
      <c r="I50" s="9"/>
      <c r="J50" s="9"/>
      <c r="K50" s="9"/>
      <c r="L50" s="9"/>
      <c r="M50" s="12"/>
      <c r="O50" s="9"/>
    </row>
    <row r="51" spans="1:15" s="8" customFormat="1" ht="26.15" customHeight="1">
      <c r="A51" s="10"/>
      <c r="B51" s="10"/>
      <c r="C51" s="10"/>
      <c r="D51" s="35"/>
      <c r="E51" s="12"/>
      <c r="F51" s="12"/>
      <c r="G51" s="12"/>
      <c r="H51" s="12"/>
      <c r="I51" s="9"/>
      <c r="J51" s="9"/>
      <c r="K51" s="9"/>
      <c r="L51" s="9"/>
      <c r="M51" s="12"/>
      <c r="O51" s="9"/>
    </row>
    <row r="52" spans="1:15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12"/>
      <c r="O52" s="9"/>
    </row>
    <row r="53" spans="1:15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12"/>
      <c r="O53" s="9"/>
    </row>
    <row r="54" spans="1:15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12"/>
      <c r="O54" s="9"/>
    </row>
    <row r="55" spans="1:15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12"/>
      <c r="O55" s="9"/>
    </row>
    <row r="56" spans="1:15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12"/>
      <c r="O56" s="9"/>
    </row>
    <row r="57" spans="1:15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12"/>
      <c r="O57" s="9"/>
    </row>
    <row r="58" spans="1:15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12"/>
      <c r="O58" s="9"/>
    </row>
    <row r="59" spans="1:15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12"/>
      <c r="O59" s="9"/>
    </row>
    <row r="60" spans="1:15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12"/>
      <c r="O60" s="9"/>
    </row>
    <row r="61" spans="1:15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12"/>
      <c r="O61" s="9"/>
    </row>
    <row r="62" spans="1:15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12"/>
      <c r="O62" s="9"/>
    </row>
    <row r="63" spans="1:15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12"/>
      <c r="O63" s="9"/>
    </row>
    <row r="64" spans="1:15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12"/>
      <c r="O64" s="9"/>
    </row>
    <row r="65" spans="1:15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12"/>
      <c r="O65" s="9"/>
    </row>
    <row r="66" spans="1:15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12"/>
      <c r="O66" s="9"/>
    </row>
    <row r="67" spans="1:15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12"/>
      <c r="O67" s="9"/>
    </row>
    <row r="68" spans="1:15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12"/>
      <c r="O68" s="9"/>
    </row>
    <row r="69" spans="1:15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12"/>
      <c r="O69" s="9"/>
    </row>
    <row r="70" spans="1:15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12"/>
      <c r="O70" s="9"/>
    </row>
    <row r="71" spans="1:15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12"/>
      <c r="O71" s="9"/>
    </row>
    <row r="72" spans="1:15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12"/>
      <c r="O72" s="9"/>
    </row>
    <row r="73" spans="1:15" s="8" customFormat="1" ht="26.15" customHeight="1">
      <c r="A73" s="10"/>
      <c r="B73" s="10"/>
      <c r="C73" s="10"/>
      <c r="D73" s="35"/>
      <c r="E73" s="12"/>
      <c r="F73" s="12"/>
      <c r="G73" s="12"/>
      <c r="H73" s="12"/>
      <c r="I73" s="9"/>
      <c r="J73" s="9"/>
      <c r="K73" s="9"/>
      <c r="L73" s="9"/>
      <c r="M73" s="12"/>
      <c r="O73" s="9"/>
    </row>
    <row r="74" spans="1:15" s="8" customFormat="1" ht="26.15" customHeight="1">
      <c r="A74" s="10"/>
      <c r="B74" s="10"/>
      <c r="C74" s="10"/>
      <c r="D74" s="35"/>
      <c r="E74" s="12"/>
      <c r="F74" s="12"/>
      <c r="G74" s="12"/>
      <c r="H74" s="12"/>
      <c r="I74" s="9"/>
      <c r="J74" s="9"/>
      <c r="K74" s="9"/>
      <c r="L74" s="9"/>
      <c r="M74" s="12"/>
      <c r="O74" s="9"/>
    </row>
    <row r="75" spans="1:15" s="8" customFormat="1" ht="26.15" customHeight="1">
      <c r="A75" s="10"/>
      <c r="B75" s="10"/>
      <c r="C75" s="10"/>
      <c r="D75" s="35"/>
      <c r="E75" s="12"/>
      <c r="F75" s="12"/>
      <c r="G75" s="12"/>
      <c r="H75" s="12"/>
      <c r="I75" s="9"/>
      <c r="J75" s="9"/>
      <c r="K75" s="9"/>
      <c r="L75" s="9"/>
      <c r="M75" s="12"/>
      <c r="O75" s="9"/>
    </row>
    <row r="76" spans="1:15" s="8" customFormat="1" ht="26.15" customHeight="1">
      <c r="A76" s="10"/>
      <c r="B76" s="10"/>
      <c r="C76" s="10"/>
      <c r="D76" s="35"/>
      <c r="E76" s="12"/>
      <c r="F76" s="12"/>
      <c r="G76" s="12"/>
      <c r="H76" s="12"/>
      <c r="I76" s="9"/>
      <c r="J76" s="9"/>
      <c r="K76" s="9"/>
      <c r="L76" s="9"/>
      <c r="M76" s="12"/>
      <c r="O76" s="9"/>
    </row>
    <row r="77" spans="1:15" s="8" customFormat="1" ht="26.15" customHeight="1">
      <c r="A77" s="10"/>
      <c r="B77" s="10"/>
      <c r="C77" s="10"/>
      <c r="D77" s="35"/>
      <c r="E77" s="12"/>
      <c r="F77" s="12"/>
      <c r="G77" s="12"/>
      <c r="H77" s="12"/>
      <c r="I77" s="9"/>
      <c r="J77" s="9"/>
      <c r="K77" s="9"/>
      <c r="L77" s="9"/>
      <c r="M77" s="12"/>
      <c r="O77" s="9"/>
    </row>
    <row r="78" spans="1:15" s="8" customFormat="1" ht="26.15" customHeight="1">
      <c r="A78" s="10"/>
      <c r="B78" s="10"/>
      <c r="C78" s="10"/>
      <c r="D78" s="35"/>
      <c r="E78" s="12"/>
      <c r="F78" s="12"/>
      <c r="G78" s="12"/>
      <c r="H78" s="12"/>
      <c r="I78" s="9"/>
      <c r="J78" s="9"/>
      <c r="K78" s="9"/>
      <c r="L78" s="9"/>
      <c r="M78" s="12"/>
      <c r="O78" s="9"/>
    </row>
    <row r="79" spans="1:15" s="8" customFormat="1" ht="26.15" customHeight="1">
      <c r="A79" s="10"/>
      <c r="B79" s="10"/>
      <c r="C79" s="10"/>
      <c r="D79" s="35"/>
      <c r="E79" s="12"/>
      <c r="F79" s="12"/>
      <c r="G79" s="12"/>
      <c r="H79" s="12"/>
      <c r="I79" s="9"/>
      <c r="J79" s="9"/>
      <c r="K79" s="9"/>
      <c r="L79" s="9"/>
      <c r="M79" s="12"/>
      <c r="O79" s="9"/>
    </row>
    <row r="80" spans="1:15" s="8" customFormat="1" ht="26.15" customHeight="1">
      <c r="A80" s="10"/>
      <c r="B80" s="10"/>
      <c r="C80" s="10"/>
      <c r="D80" s="35"/>
      <c r="E80" s="12"/>
      <c r="F80" s="12"/>
      <c r="G80" s="12"/>
      <c r="H80" s="12"/>
      <c r="I80" s="9"/>
      <c r="J80" s="9"/>
      <c r="K80" s="9"/>
      <c r="L80" s="9"/>
      <c r="M80" s="12"/>
      <c r="O80" s="9"/>
    </row>
  </sheetData>
  <mergeCells count="37">
    <mergeCell ref="A1:M1"/>
    <mergeCell ref="A35:I35"/>
    <mergeCell ref="K35:L35"/>
    <mergeCell ref="A36:M36"/>
    <mergeCell ref="C37:M37"/>
    <mergeCell ref="A37:B47"/>
    <mergeCell ref="C38:M38"/>
    <mergeCell ref="C39:M39"/>
    <mergeCell ref="C40:M40"/>
    <mergeCell ref="C41:M41"/>
    <mergeCell ref="C42:M42"/>
    <mergeCell ref="C43:M43"/>
    <mergeCell ref="C44:M44"/>
    <mergeCell ref="C45:M45"/>
    <mergeCell ref="C46:M46"/>
    <mergeCell ref="C47:M47"/>
    <mergeCell ref="A48:M48"/>
    <mergeCell ref="A3:A4"/>
    <mergeCell ref="A6:A7"/>
    <mergeCell ref="A10:A11"/>
    <mergeCell ref="A15:A16"/>
    <mergeCell ref="B3:B4"/>
    <mergeCell ref="B6:B7"/>
    <mergeCell ref="B10:B11"/>
    <mergeCell ref="B15:B16"/>
    <mergeCell ref="B32:B33"/>
    <mergeCell ref="C15:C16"/>
    <mergeCell ref="M3:M4"/>
    <mergeCell ref="M6:M7"/>
    <mergeCell ref="M10:M11"/>
    <mergeCell ref="M15:M16"/>
    <mergeCell ref="M32:M33"/>
    <mergeCell ref="N3:N4"/>
    <mergeCell ref="N6:N7"/>
    <mergeCell ref="N10:N11"/>
    <mergeCell ref="N15:N16"/>
    <mergeCell ref="N32:N33"/>
  </mergeCells>
  <phoneticPr fontId="22" type="noConversion"/>
  <conditionalFormatting sqref="J3">
    <cfRule type="expression" dxfId="36" priority="3">
      <formula>J3=""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0"/>
  <sheetViews>
    <sheetView workbookViewId="0">
      <pane xSplit="13" ySplit="1" topLeftCell="N32" activePane="bottomRight" state="frozen"/>
      <selection pane="topRight"/>
      <selection pane="bottomLeft"/>
      <selection pane="bottomRight" activeCell="N49" sqref="N49"/>
    </sheetView>
  </sheetViews>
  <sheetFormatPr defaultColWidth="8.6640625" defaultRowHeight="26.15" customHeight="1"/>
  <cols>
    <col min="1" max="1" width="5.33203125" style="10" customWidth="1"/>
    <col min="2" max="2" width="9.582031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6640625" style="12" customWidth="1"/>
    <col min="8" max="8" width="7.75" style="12" customWidth="1"/>
    <col min="9" max="9" width="9.33203125" style="9" customWidth="1"/>
    <col min="10" max="10" width="12" style="9" customWidth="1"/>
    <col min="11" max="11" width="9.08203125" style="9" customWidth="1"/>
    <col min="12" max="12" width="8.5" style="9" customWidth="1"/>
    <col min="13" max="13" width="11.9140625" style="12" customWidth="1"/>
    <col min="14" max="14" width="12.6640625" style="8" customWidth="1"/>
    <col min="15" max="15" width="11.5" style="9" customWidth="1"/>
    <col min="16" max="17" width="10.25" style="9" customWidth="1"/>
    <col min="18" max="16384" width="8.6640625" style="9"/>
  </cols>
  <sheetData>
    <row r="1" spans="1:15" ht="40" customHeight="1">
      <c r="A1" s="576" t="s">
        <v>165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37"/>
    </row>
    <row r="2" spans="1:15" s="10" customFormat="1" ht="26.15" customHeight="1">
      <c r="A2" s="38" t="s">
        <v>1</v>
      </c>
      <c r="B2" s="39" t="s">
        <v>2</v>
      </c>
      <c r="C2" s="39" t="s">
        <v>3</v>
      </c>
      <c r="D2" s="40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105</v>
      </c>
      <c r="J2" s="39" t="s">
        <v>10</v>
      </c>
      <c r="K2" s="39" t="s">
        <v>11</v>
      </c>
      <c r="L2" s="39" t="s">
        <v>12</v>
      </c>
      <c r="M2" s="39" t="s">
        <v>13</v>
      </c>
      <c r="N2" s="41" t="s">
        <v>14</v>
      </c>
    </row>
    <row r="3" spans="1:15" s="34" customFormat="1" ht="26.15" customHeight="1">
      <c r="A3" s="563">
        <f>ROW()-2</f>
        <v>1</v>
      </c>
      <c r="B3" s="568" t="s">
        <v>15</v>
      </c>
      <c r="C3" s="98" t="s">
        <v>16</v>
      </c>
      <c r="D3" s="99">
        <v>135407</v>
      </c>
      <c r="E3" s="100">
        <v>1398.9</v>
      </c>
      <c r="F3" s="100">
        <v>1319.7</v>
      </c>
      <c r="G3" s="101">
        <v>60</v>
      </c>
      <c r="H3" s="101">
        <f t="shared" ref="H3:H34" si="0">(E3-F3)*G3</f>
        <v>4752</v>
      </c>
      <c r="I3" s="102">
        <v>1.1000000000000001</v>
      </c>
      <c r="J3" s="102">
        <f t="shared" ref="J3:J34" si="1">H3*I3</f>
        <v>5227.2</v>
      </c>
      <c r="K3" s="103"/>
      <c r="L3" s="104"/>
      <c r="M3" s="583">
        <f>J3+J4+K3+K4</f>
        <v>6619.8</v>
      </c>
      <c r="N3" s="551">
        <v>6620</v>
      </c>
    </row>
    <row r="4" spans="1:15" s="34" customFormat="1" ht="26.15" customHeight="1">
      <c r="A4" s="564"/>
      <c r="B4" s="569"/>
      <c r="C4" s="107" t="s">
        <v>17</v>
      </c>
      <c r="D4" s="108">
        <v>222933</v>
      </c>
      <c r="E4" s="109">
        <v>11666</v>
      </c>
      <c r="F4" s="109">
        <v>10400</v>
      </c>
      <c r="G4" s="109">
        <v>1</v>
      </c>
      <c r="H4" s="110">
        <f t="shared" si="0"/>
        <v>1266</v>
      </c>
      <c r="I4" s="111">
        <v>1.1000000000000001</v>
      </c>
      <c r="J4" s="111">
        <f t="shared" si="1"/>
        <v>1392.6</v>
      </c>
      <c r="K4" s="112"/>
      <c r="L4" s="113"/>
      <c r="M4" s="584"/>
      <c r="N4" s="552"/>
    </row>
    <row r="5" spans="1:15" ht="26.15" customHeight="1">
      <c r="A5" s="115">
        <v>2</v>
      </c>
      <c r="B5" s="116" t="s">
        <v>18</v>
      </c>
      <c r="C5" s="117" t="s">
        <v>16</v>
      </c>
      <c r="D5" s="118">
        <v>135406</v>
      </c>
      <c r="E5" s="119">
        <v>579.70000000000005</v>
      </c>
      <c r="F5" s="119">
        <v>539.29999999999995</v>
      </c>
      <c r="G5" s="120">
        <v>40</v>
      </c>
      <c r="H5" s="120">
        <f t="shared" si="0"/>
        <v>1616</v>
      </c>
      <c r="I5" s="121">
        <v>1.1000000000000001</v>
      </c>
      <c r="J5" s="121">
        <f t="shared" si="1"/>
        <v>1777.6</v>
      </c>
      <c r="K5" s="122"/>
      <c r="L5" s="123"/>
      <c r="M5" s="124">
        <f>J5+K5</f>
        <v>1777.6</v>
      </c>
      <c r="N5" s="125">
        <v>1777</v>
      </c>
      <c r="O5" s="68"/>
    </row>
    <row r="6" spans="1:15" s="34" customFormat="1" ht="26.15" customHeight="1">
      <c r="A6" s="565">
        <v>3</v>
      </c>
      <c r="B6" s="569" t="s">
        <v>20</v>
      </c>
      <c r="C6" s="107" t="s">
        <v>16</v>
      </c>
      <c r="D6" s="108">
        <v>135400</v>
      </c>
      <c r="E6" s="109">
        <v>15</v>
      </c>
      <c r="F6" s="109">
        <v>14.3</v>
      </c>
      <c r="G6" s="110">
        <v>40</v>
      </c>
      <c r="H6" s="110">
        <f t="shared" si="0"/>
        <v>28</v>
      </c>
      <c r="I6" s="111">
        <v>1.1000000000000001</v>
      </c>
      <c r="J6" s="111">
        <f t="shared" si="1"/>
        <v>30.8</v>
      </c>
      <c r="K6" s="112"/>
      <c r="L6" s="113"/>
      <c r="M6" s="584">
        <f>J6+J7+K6+K7</f>
        <v>108.9</v>
      </c>
      <c r="N6" s="552">
        <v>108.9</v>
      </c>
    </row>
    <row r="7" spans="1:15" s="34" customFormat="1" ht="26.15" customHeight="1">
      <c r="A7" s="564"/>
      <c r="B7" s="569"/>
      <c r="C7" s="107" t="s">
        <v>17</v>
      </c>
      <c r="D7" s="127" t="s">
        <v>21</v>
      </c>
      <c r="E7" s="110">
        <v>843</v>
      </c>
      <c r="F7" s="110">
        <v>772</v>
      </c>
      <c r="G7" s="110">
        <v>1</v>
      </c>
      <c r="H7" s="110">
        <f t="shared" si="0"/>
        <v>71</v>
      </c>
      <c r="I7" s="111">
        <v>1.1000000000000001</v>
      </c>
      <c r="J7" s="111">
        <f t="shared" si="1"/>
        <v>78.099999999999994</v>
      </c>
      <c r="K7" s="112"/>
      <c r="L7" s="113"/>
      <c r="M7" s="572"/>
      <c r="N7" s="552"/>
    </row>
    <row r="8" spans="1:15" ht="26.15" customHeight="1">
      <c r="A8" s="115">
        <v>4</v>
      </c>
      <c r="B8" s="116" t="s">
        <v>22</v>
      </c>
      <c r="C8" s="117" t="s">
        <v>16</v>
      </c>
      <c r="D8" s="118">
        <v>135405</v>
      </c>
      <c r="E8" s="119">
        <v>474.7</v>
      </c>
      <c r="F8" s="119">
        <v>441</v>
      </c>
      <c r="G8" s="120">
        <v>40</v>
      </c>
      <c r="H8" s="120">
        <f t="shared" si="0"/>
        <v>1348</v>
      </c>
      <c r="I8" s="121">
        <v>1.1000000000000001</v>
      </c>
      <c r="J8" s="121">
        <f t="shared" si="1"/>
        <v>1482.8</v>
      </c>
      <c r="K8" s="122"/>
      <c r="L8" s="123"/>
      <c r="M8" s="121">
        <f>J8+K8</f>
        <v>1482.8</v>
      </c>
      <c r="N8" s="93">
        <v>1482</v>
      </c>
      <c r="O8" s="68"/>
    </row>
    <row r="9" spans="1:15" s="34" customFormat="1" ht="26.15" customHeight="1">
      <c r="A9" s="126">
        <v>5</v>
      </c>
      <c r="B9" s="106" t="s">
        <v>23</v>
      </c>
      <c r="C9" s="107" t="s">
        <v>16</v>
      </c>
      <c r="D9" s="108">
        <v>135401</v>
      </c>
      <c r="E9" s="109">
        <v>92.7</v>
      </c>
      <c r="F9" s="109">
        <v>84.4</v>
      </c>
      <c r="G9" s="110">
        <v>20</v>
      </c>
      <c r="H9" s="110">
        <f t="shared" si="0"/>
        <v>166</v>
      </c>
      <c r="I9" s="111">
        <v>1.1000000000000001</v>
      </c>
      <c r="J9" s="111">
        <f t="shared" si="1"/>
        <v>182.6</v>
      </c>
      <c r="K9" s="112"/>
      <c r="L9" s="113"/>
      <c r="M9" s="111">
        <f>J9+K9</f>
        <v>182.6</v>
      </c>
      <c r="N9" s="128">
        <v>182.6</v>
      </c>
    </row>
    <row r="10" spans="1:15" ht="26.15" customHeight="1">
      <c r="A10" s="597">
        <v>6</v>
      </c>
      <c r="B10" s="581" t="s">
        <v>24</v>
      </c>
      <c r="C10" s="117" t="s">
        <v>25</v>
      </c>
      <c r="D10" s="118">
        <v>135402</v>
      </c>
      <c r="E10" s="119">
        <v>750.1</v>
      </c>
      <c r="F10" s="119">
        <v>697.7</v>
      </c>
      <c r="G10" s="120">
        <v>20</v>
      </c>
      <c r="H10" s="120">
        <f t="shared" si="0"/>
        <v>1048</v>
      </c>
      <c r="I10" s="121">
        <v>1.1000000000000001</v>
      </c>
      <c r="J10" s="121">
        <f t="shared" si="1"/>
        <v>1152.8</v>
      </c>
      <c r="K10" s="122"/>
      <c r="L10" s="123"/>
      <c r="M10" s="585">
        <f>J10+J11+K10+K11+J12+K12</f>
        <v>2393.6</v>
      </c>
      <c r="N10" s="587">
        <v>2393.6</v>
      </c>
    </row>
    <row r="11" spans="1:15" ht="26.15" customHeight="1">
      <c r="A11" s="598"/>
      <c r="B11" s="501"/>
      <c r="C11" s="117" t="s">
        <v>26</v>
      </c>
      <c r="D11" s="118">
        <v>135408</v>
      </c>
      <c r="E11" s="119">
        <v>302.39999999999998</v>
      </c>
      <c r="F11" s="119">
        <v>279.5</v>
      </c>
      <c r="G11" s="120">
        <v>40</v>
      </c>
      <c r="H11" s="120">
        <f t="shared" si="0"/>
        <v>915.99999999999898</v>
      </c>
      <c r="I11" s="121">
        <v>1.1000000000000001</v>
      </c>
      <c r="J11" s="121">
        <f t="shared" si="1"/>
        <v>1007.6</v>
      </c>
      <c r="K11" s="122"/>
      <c r="L11" s="123"/>
      <c r="M11" s="600"/>
      <c r="N11" s="588"/>
    </row>
    <row r="12" spans="1:15" ht="26.15" customHeight="1">
      <c r="A12" s="599"/>
      <c r="B12" s="582"/>
      <c r="C12" s="117" t="s">
        <v>166</v>
      </c>
      <c r="D12" s="118" t="s">
        <v>167</v>
      </c>
      <c r="E12" s="119">
        <v>5.3</v>
      </c>
      <c r="F12" s="119">
        <v>0</v>
      </c>
      <c r="G12" s="120">
        <v>40</v>
      </c>
      <c r="H12" s="120">
        <f t="shared" si="0"/>
        <v>212</v>
      </c>
      <c r="I12" s="121">
        <v>1.1000000000000001</v>
      </c>
      <c r="J12" s="121">
        <f t="shared" si="1"/>
        <v>233.2</v>
      </c>
      <c r="K12" s="122"/>
      <c r="L12" s="123"/>
      <c r="M12" s="586"/>
      <c r="N12" s="589"/>
    </row>
    <row r="13" spans="1:15" s="34" customFormat="1" ht="26.15" customHeight="1">
      <c r="A13" s="126">
        <v>7</v>
      </c>
      <c r="B13" s="106" t="s">
        <v>27</v>
      </c>
      <c r="C13" s="107" t="s">
        <v>16</v>
      </c>
      <c r="D13" s="108">
        <v>136866</v>
      </c>
      <c r="E13" s="109">
        <v>264.7</v>
      </c>
      <c r="F13" s="109">
        <v>258.10000000000002</v>
      </c>
      <c r="G13" s="110">
        <v>20</v>
      </c>
      <c r="H13" s="110">
        <f t="shared" si="0"/>
        <v>131.99999999999901</v>
      </c>
      <c r="I13" s="111">
        <v>1.1000000000000001</v>
      </c>
      <c r="J13" s="111">
        <f t="shared" si="1"/>
        <v>145.19999999999899</v>
      </c>
      <c r="K13" s="112"/>
      <c r="L13" s="113"/>
      <c r="M13" s="111">
        <f>J13+K13</f>
        <v>145.19999999999899</v>
      </c>
      <c r="N13" s="128">
        <v>145.19999999999999</v>
      </c>
    </row>
    <row r="14" spans="1:15" ht="26.15" customHeight="1">
      <c r="A14" s="115">
        <v>8</v>
      </c>
      <c r="B14" s="116" t="s">
        <v>28</v>
      </c>
      <c r="C14" s="117" t="s">
        <v>16</v>
      </c>
      <c r="D14" s="130">
        <v>135847</v>
      </c>
      <c r="E14" s="119">
        <v>239.5</v>
      </c>
      <c r="F14" s="119">
        <v>226.5</v>
      </c>
      <c r="G14" s="120">
        <v>40</v>
      </c>
      <c r="H14" s="120">
        <f t="shared" si="0"/>
        <v>520</v>
      </c>
      <c r="I14" s="121">
        <v>1.1000000000000001</v>
      </c>
      <c r="J14" s="121">
        <f t="shared" si="1"/>
        <v>572</v>
      </c>
      <c r="K14" s="122"/>
      <c r="L14" s="123"/>
      <c r="M14" s="121">
        <f>J14+K14</f>
        <v>572</v>
      </c>
      <c r="N14" s="93">
        <v>572</v>
      </c>
      <c r="O14" s="74"/>
    </row>
    <row r="15" spans="1:15" s="34" customFormat="1" ht="26.15" customHeight="1">
      <c r="A15" s="126">
        <v>9</v>
      </c>
      <c r="B15" s="106" t="s">
        <v>29</v>
      </c>
      <c r="C15" s="107" t="s">
        <v>16</v>
      </c>
      <c r="D15" s="108">
        <v>135848</v>
      </c>
      <c r="E15" s="109">
        <v>844</v>
      </c>
      <c r="F15" s="109">
        <v>783.2</v>
      </c>
      <c r="G15" s="131">
        <v>40</v>
      </c>
      <c r="H15" s="110">
        <f t="shared" si="0"/>
        <v>2432</v>
      </c>
      <c r="I15" s="111">
        <v>1.1000000000000001</v>
      </c>
      <c r="J15" s="111">
        <f t="shared" si="1"/>
        <v>2675.2</v>
      </c>
      <c r="K15" s="112"/>
      <c r="L15" s="113"/>
      <c r="M15" s="111">
        <f>J15+K15</f>
        <v>2675.2</v>
      </c>
      <c r="N15" s="128">
        <v>2675.2</v>
      </c>
    </row>
    <row r="16" spans="1:15" ht="26.15" customHeight="1">
      <c r="A16" s="566">
        <v>10</v>
      </c>
      <c r="B16" s="570" t="s">
        <v>31</v>
      </c>
      <c r="C16" s="571" t="s">
        <v>16</v>
      </c>
      <c r="D16" s="118">
        <v>135846</v>
      </c>
      <c r="E16" s="119">
        <v>768.8</v>
      </c>
      <c r="F16" s="119">
        <v>721.1</v>
      </c>
      <c r="G16" s="132">
        <v>40</v>
      </c>
      <c r="H16" s="120">
        <f t="shared" si="0"/>
        <v>1908</v>
      </c>
      <c r="I16" s="121">
        <v>1.1000000000000001</v>
      </c>
      <c r="J16" s="121">
        <f t="shared" si="1"/>
        <v>2098.8000000000002</v>
      </c>
      <c r="K16" s="122"/>
      <c r="L16" s="123"/>
      <c r="M16" s="574">
        <f>J16+K16+J17+K17</f>
        <v>3885.2</v>
      </c>
      <c r="N16" s="553">
        <v>3885</v>
      </c>
    </row>
    <row r="17" spans="1:17" ht="26.15" customHeight="1">
      <c r="A17" s="567"/>
      <c r="B17" s="570"/>
      <c r="C17" s="571"/>
      <c r="D17" s="134">
        <v>135379</v>
      </c>
      <c r="E17" s="123">
        <v>45</v>
      </c>
      <c r="F17" s="123">
        <v>24.7</v>
      </c>
      <c r="G17" s="123">
        <v>80</v>
      </c>
      <c r="H17" s="123">
        <f t="shared" si="0"/>
        <v>1624</v>
      </c>
      <c r="I17" s="121">
        <v>1.1000000000000001</v>
      </c>
      <c r="J17" s="121">
        <f t="shared" si="1"/>
        <v>1786.4</v>
      </c>
      <c r="K17" s="122"/>
      <c r="L17" s="123"/>
      <c r="M17" s="574"/>
      <c r="N17" s="553"/>
    </row>
    <row r="18" spans="1:17" s="34" customFormat="1" ht="26.15" customHeight="1">
      <c r="A18" s="105">
        <v>11</v>
      </c>
      <c r="B18" s="106" t="s">
        <v>32</v>
      </c>
      <c r="C18" s="107" t="s">
        <v>16</v>
      </c>
      <c r="D18" s="108">
        <v>135845</v>
      </c>
      <c r="E18" s="109">
        <v>514.6</v>
      </c>
      <c r="F18" s="109">
        <v>476.5</v>
      </c>
      <c r="G18" s="131">
        <v>40</v>
      </c>
      <c r="H18" s="110">
        <f t="shared" si="0"/>
        <v>1524</v>
      </c>
      <c r="I18" s="111">
        <v>1.1000000000000001</v>
      </c>
      <c r="J18" s="111">
        <f t="shared" si="1"/>
        <v>1676.4</v>
      </c>
      <c r="K18" s="112"/>
      <c r="L18" s="113"/>
      <c r="M18" s="111">
        <f t="shared" ref="M18:M30" si="2">J18+K18</f>
        <v>1676.4</v>
      </c>
      <c r="N18" s="135">
        <v>1676</v>
      </c>
      <c r="O18" s="78"/>
      <c r="P18" s="71"/>
      <c r="Q18" s="79"/>
    </row>
    <row r="19" spans="1:17" ht="26.15" customHeight="1">
      <c r="A19" s="133">
        <v>12</v>
      </c>
      <c r="B19" s="116" t="s">
        <v>33</v>
      </c>
      <c r="C19" s="117" t="s">
        <v>16</v>
      </c>
      <c r="D19" s="130">
        <v>135844</v>
      </c>
      <c r="E19" s="119">
        <v>75.2</v>
      </c>
      <c r="F19" s="119">
        <v>68.2</v>
      </c>
      <c r="G19" s="136">
        <v>30</v>
      </c>
      <c r="H19" s="120">
        <f t="shared" si="0"/>
        <v>210</v>
      </c>
      <c r="I19" s="121">
        <v>1.1000000000000001</v>
      </c>
      <c r="J19" s="121">
        <f t="shared" si="1"/>
        <v>231</v>
      </c>
      <c r="K19" s="122"/>
      <c r="L19" s="123"/>
      <c r="M19" s="121">
        <f t="shared" si="2"/>
        <v>231</v>
      </c>
      <c r="N19" s="93">
        <v>231</v>
      </c>
      <c r="O19" s="74"/>
    </row>
    <row r="20" spans="1:17" s="34" customFormat="1" ht="26.15" customHeight="1">
      <c r="A20" s="105">
        <v>13</v>
      </c>
      <c r="B20" s="106" t="s">
        <v>34</v>
      </c>
      <c r="C20" s="107" t="s">
        <v>16</v>
      </c>
      <c r="D20" s="137">
        <v>135844</v>
      </c>
      <c r="E20" s="109">
        <v>96.8</v>
      </c>
      <c r="F20" s="109">
        <v>85.6</v>
      </c>
      <c r="G20" s="138">
        <v>30</v>
      </c>
      <c r="H20" s="110">
        <f t="shared" si="0"/>
        <v>336</v>
      </c>
      <c r="I20" s="111">
        <v>1.1000000000000001</v>
      </c>
      <c r="J20" s="111">
        <f t="shared" si="1"/>
        <v>369.6</v>
      </c>
      <c r="K20" s="112"/>
      <c r="L20" s="113"/>
      <c r="M20" s="111">
        <f t="shared" si="2"/>
        <v>369.6</v>
      </c>
      <c r="N20" s="128">
        <v>369.6</v>
      </c>
      <c r="O20" s="83"/>
    </row>
    <row r="21" spans="1:17" ht="26.15" customHeight="1">
      <c r="A21" s="133">
        <v>14</v>
      </c>
      <c r="B21" s="116" t="s">
        <v>35</v>
      </c>
      <c r="C21" s="117" t="s">
        <v>16</v>
      </c>
      <c r="D21" s="130">
        <v>135850</v>
      </c>
      <c r="E21" s="119">
        <v>223.9</v>
      </c>
      <c r="F21" s="119">
        <v>215.3</v>
      </c>
      <c r="G21" s="136">
        <v>30</v>
      </c>
      <c r="H21" s="120">
        <f t="shared" si="0"/>
        <v>258</v>
      </c>
      <c r="I21" s="121">
        <v>1.1000000000000001</v>
      </c>
      <c r="J21" s="121">
        <f t="shared" si="1"/>
        <v>283.8</v>
      </c>
      <c r="K21" s="122"/>
      <c r="L21" s="123"/>
      <c r="M21" s="121">
        <f t="shared" si="2"/>
        <v>283.8</v>
      </c>
      <c r="N21" s="93">
        <v>283</v>
      </c>
      <c r="O21" s="74"/>
    </row>
    <row r="22" spans="1:17" s="34" customFormat="1" ht="26.15" customHeight="1">
      <c r="A22" s="105">
        <v>15</v>
      </c>
      <c r="B22" s="106" t="s">
        <v>36</v>
      </c>
      <c r="C22" s="107" t="s">
        <v>16</v>
      </c>
      <c r="D22" s="108">
        <v>135358</v>
      </c>
      <c r="E22" s="109">
        <v>247.9</v>
      </c>
      <c r="F22" s="109">
        <v>233.3</v>
      </c>
      <c r="G22" s="131">
        <v>40</v>
      </c>
      <c r="H22" s="110">
        <f t="shared" si="0"/>
        <v>584</v>
      </c>
      <c r="I22" s="111">
        <v>1.1000000000000001</v>
      </c>
      <c r="J22" s="111">
        <f t="shared" si="1"/>
        <v>642.4</v>
      </c>
      <c r="K22" s="112"/>
      <c r="L22" s="113"/>
      <c r="M22" s="111">
        <f t="shared" si="2"/>
        <v>642.4</v>
      </c>
      <c r="N22" s="128">
        <v>642</v>
      </c>
      <c r="O22" s="83"/>
    </row>
    <row r="23" spans="1:17" ht="26.15" customHeight="1">
      <c r="A23" s="133">
        <v>16</v>
      </c>
      <c r="B23" s="116" t="s">
        <v>126</v>
      </c>
      <c r="C23" s="117" t="s">
        <v>16</v>
      </c>
      <c r="D23" s="130">
        <v>135380</v>
      </c>
      <c r="E23" s="119">
        <v>354.3</v>
      </c>
      <c r="F23" s="119">
        <v>332.1</v>
      </c>
      <c r="G23" s="136">
        <v>40</v>
      </c>
      <c r="H23" s="120">
        <f t="shared" si="0"/>
        <v>888</v>
      </c>
      <c r="I23" s="121">
        <v>1.1000000000000001</v>
      </c>
      <c r="J23" s="121">
        <f t="shared" si="1"/>
        <v>976.8</v>
      </c>
      <c r="K23" s="122"/>
      <c r="L23" s="123"/>
      <c r="M23" s="121">
        <f t="shared" si="2"/>
        <v>976.8</v>
      </c>
      <c r="N23" s="93">
        <v>976</v>
      </c>
      <c r="Q23" s="84"/>
    </row>
    <row r="24" spans="1:17" s="34" customFormat="1" ht="26.15" customHeight="1">
      <c r="A24" s="105">
        <v>17</v>
      </c>
      <c r="B24" s="106" t="s">
        <v>38</v>
      </c>
      <c r="C24" s="107" t="s">
        <v>16</v>
      </c>
      <c r="D24" s="108">
        <v>135376</v>
      </c>
      <c r="E24" s="109">
        <v>41.7</v>
      </c>
      <c r="F24" s="109">
        <v>39.6</v>
      </c>
      <c r="G24" s="131">
        <v>40</v>
      </c>
      <c r="H24" s="110">
        <f t="shared" si="0"/>
        <v>84.000000000000099</v>
      </c>
      <c r="I24" s="111">
        <v>1.1000000000000001</v>
      </c>
      <c r="J24" s="111">
        <f t="shared" si="1"/>
        <v>92.400000000000105</v>
      </c>
      <c r="K24" s="112"/>
      <c r="L24" s="113"/>
      <c r="M24" s="111">
        <f t="shared" si="2"/>
        <v>92.400000000000105</v>
      </c>
      <c r="N24" s="128">
        <v>93</v>
      </c>
      <c r="O24" s="83"/>
    </row>
    <row r="25" spans="1:17" ht="26.15" customHeight="1">
      <c r="A25" s="133">
        <v>18</v>
      </c>
      <c r="B25" s="116" t="s">
        <v>39</v>
      </c>
      <c r="C25" s="117" t="s">
        <v>16</v>
      </c>
      <c r="D25" s="139" t="s">
        <v>40</v>
      </c>
      <c r="E25" s="119">
        <v>676</v>
      </c>
      <c r="F25" s="119">
        <v>617</v>
      </c>
      <c r="G25" s="132">
        <v>1</v>
      </c>
      <c r="H25" s="120">
        <f t="shared" si="0"/>
        <v>59</v>
      </c>
      <c r="I25" s="121">
        <v>1.1000000000000001</v>
      </c>
      <c r="J25" s="121">
        <f t="shared" si="1"/>
        <v>64.900000000000006</v>
      </c>
      <c r="K25" s="122"/>
      <c r="L25" s="123"/>
      <c r="M25" s="121">
        <f t="shared" si="2"/>
        <v>64.900000000000006</v>
      </c>
      <c r="N25" s="93">
        <v>65</v>
      </c>
    </row>
    <row r="26" spans="1:17" s="34" customFormat="1" ht="26.15" customHeight="1">
      <c r="A26" s="105">
        <v>19</v>
      </c>
      <c r="B26" s="106" t="s">
        <v>41</v>
      </c>
      <c r="C26" s="107" t="s">
        <v>16</v>
      </c>
      <c r="D26" s="108" t="s">
        <v>42</v>
      </c>
      <c r="E26" s="109">
        <v>3040</v>
      </c>
      <c r="F26" s="109">
        <v>2750</v>
      </c>
      <c r="G26" s="131">
        <v>1</v>
      </c>
      <c r="H26" s="110">
        <f t="shared" si="0"/>
        <v>290</v>
      </c>
      <c r="I26" s="111">
        <v>1.1000000000000001</v>
      </c>
      <c r="J26" s="111">
        <f t="shared" si="1"/>
        <v>319</v>
      </c>
      <c r="K26" s="112"/>
      <c r="L26" s="113"/>
      <c r="M26" s="111">
        <f t="shared" si="2"/>
        <v>319</v>
      </c>
      <c r="N26" s="128">
        <v>319</v>
      </c>
      <c r="O26" s="83"/>
    </row>
    <row r="27" spans="1:17" ht="26.15" customHeight="1">
      <c r="A27" s="133">
        <v>20</v>
      </c>
      <c r="B27" s="116" t="s">
        <v>43</v>
      </c>
      <c r="C27" s="117" t="s">
        <v>16</v>
      </c>
      <c r="D27" s="118">
        <v>281917</v>
      </c>
      <c r="E27" s="119">
        <v>92.1</v>
      </c>
      <c r="F27" s="119">
        <v>77.8</v>
      </c>
      <c r="G27" s="132">
        <v>100</v>
      </c>
      <c r="H27" s="120">
        <f t="shared" si="0"/>
        <v>1430</v>
      </c>
      <c r="I27" s="121">
        <v>1.1000000000000001</v>
      </c>
      <c r="J27" s="121">
        <f t="shared" si="1"/>
        <v>1573</v>
      </c>
      <c r="K27" s="122"/>
      <c r="L27" s="123"/>
      <c r="M27" s="121">
        <f t="shared" si="2"/>
        <v>1573</v>
      </c>
      <c r="N27" s="93">
        <v>1573</v>
      </c>
    </row>
    <row r="28" spans="1:17" s="34" customFormat="1" ht="26.15" customHeight="1">
      <c r="A28" s="105">
        <v>21</v>
      </c>
      <c r="B28" s="106" t="s">
        <v>44</v>
      </c>
      <c r="C28" s="107" t="s">
        <v>16</v>
      </c>
      <c r="D28" s="108">
        <v>136865</v>
      </c>
      <c r="E28" s="109">
        <v>359</v>
      </c>
      <c r="F28" s="109">
        <v>343.6</v>
      </c>
      <c r="G28" s="131">
        <v>20</v>
      </c>
      <c r="H28" s="110">
        <f t="shared" si="0"/>
        <v>308</v>
      </c>
      <c r="I28" s="111">
        <v>1.1000000000000001</v>
      </c>
      <c r="J28" s="111">
        <f t="shared" si="1"/>
        <v>338.79999999999899</v>
      </c>
      <c r="K28" s="112"/>
      <c r="L28" s="113"/>
      <c r="M28" s="111">
        <f t="shared" si="2"/>
        <v>338.8</v>
      </c>
      <c r="N28" s="128">
        <v>338.8</v>
      </c>
    </row>
    <row r="29" spans="1:17" ht="26.15" customHeight="1">
      <c r="A29" s="133">
        <v>22</v>
      </c>
      <c r="B29" s="116" t="s">
        <v>46</v>
      </c>
      <c r="C29" s="117" t="s">
        <v>16</v>
      </c>
      <c r="D29" s="118">
        <v>121780</v>
      </c>
      <c r="E29" s="119">
        <v>82.9</v>
      </c>
      <c r="F29" s="119">
        <v>76.7</v>
      </c>
      <c r="G29" s="132">
        <v>20</v>
      </c>
      <c r="H29" s="120">
        <f t="shared" si="0"/>
        <v>124</v>
      </c>
      <c r="I29" s="121">
        <v>1.1000000000000001</v>
      </c>
      <c r="J29" s="121">
        <f t="shared" si="1"/>
        <v>136.4</v>
      </c>
      <c r="K29" s="122"/>
      <c r="L29" s="123"/>
      <c r="M29" s="121">
        <f t="shared" si="2"/>
        <v>136.4</v>
      </c>
      <c r="N29" s="93">
        <v>137</v>
      </c>
      <c r="O29" s="74"/>
    </row>
    <row r="30" spans="1:17" s="34" customFormat="1" ht="26.15" customHeight="1">
      <c r="A30" s="105">
        <v>23</v>
      </c>
      <c r="B30" s="106" t="s">
        <v>47</v>
      </c>
      <c r="C30" s="107" t="s">
        <v>16</v>
      </c>
      <c r="D30" s="108">
        <v>135940</v>
      </c>
      <c r="E30" s="109">
        <v>55.7</v>
      </c>
      <c r="F30" s="109">
        <v>49.6</v>
      </c>
      <c r="G30" s="131">
        <v>30</v>
      </c>
      <c r="H30" s="110">
        <f t="shared" si="0"/>
        <v>183</v>
      </c>
      <c r="I30" s="111">
        <v>1.1000000000000001</v>
      </c>
      <c r="J30" s="111">
        <f t="shared" si="1"/>
        <v>201.3</v>
      </c>
      <c r="K30" s="112"/>
      <c r="L30" s="113"/>
      <c r="M30" s="111">
        <f t="shared" si="2"/>
        <v>201.3</v>
      </c>
      <c r="N30" s="128">
        <v>202</v>
      </c>
    </row>
    <row r="31" spans="1:17" ht="26.15" customHeight="1">
      <c r="A31" s="133">
        <v>24</v>
      </c>
      <c r="B31" s="116" t="s">
        <v>48</v>
      </c>
      <c r="C31" s="117" t="s">
        <v>16</v>
      </c>
      <c r="D31" s="139">
        <v>121780</v>
      </c>
      <c r="E31" s="120">
        <v>3497.2</v>
      </c>
      <c r="F31" s="120">
        <v>3253.7</v>
      </c>
      <c r="G31" s="120">
        <v>30</v>
      </c>
      <c r="H31" s="120">
        <f t="shared" si="0"/>
        <v>7305</v>
      </c>
      <c r="I31" s="121">
        <v>1.1000000000000001</v>
      </c>
      <c r="J31" s="121">
        <f t="shared" si="1"/>
        <v>8035.5</v>
      </c>
      <c r="K31" s="123"/>
      <c r="L31" s="123"/>
      <c r="M31" s="121">
        <v>0</v>
      </c>
      <c r="N31" s="125">
        <v>0</v>
      </c>
    </row>
    <row r="32" spans="1:17" s="34" customFormat="1" ht="26.15" customHeight="1">
      <c r="A32" s="105">
        <v>25</v>
      </c>
      <c r="B32" s="106" t="s">
        <v>49</v>
      </c>
      <c r="C32" s="107" t="s">
        <v>16</v>
      </c>
      <c r="D32" s="140">
        <v>134768</v>
      </c>
      <c r="E32" s="110">
        <v>970.5</v>
      </c>
      <c r="F32" s="110">
        <v>938.3</v>
      </c>
      <c r="G32" s="110">
        <v>80</v>
      </c>
      <c r="H32" s="110">
        <f t="shared" si="0"/>
        <v>2576</v>
      </c>
      <c r="I32" s="111">
        <v>1.1000000000000001</v>
      </c>
      <c r="J32" s="111">
        <f t="shared" si="1"/>
        <v>2833.6</v>
      </c>
      <c r="K32" s="112"/>
      <c r="L32" s="113"/>
      <c r="M32" s="111">
        <f>J32+K32</f>
        <v>2833.6</v>
      </c>
      <c r="N32" s="114">
        <v>2833</v>
      </c>
    </row>
    <row r="33" spans="1:16" ht="26.15" customHeight="1">
      <c r="A33" s="133">
        <v>27</v>
      </c>
      <c r="B33" s="129" t="s">
        <v>111</v>
      </c>
      <c r="C33" s="117" t="s">
        <v>16</v>
      </c>
      <c r="D33" s="139">
        <v>135939</v>
      </c>
      <c r="E33" s="120">
        <v>161.6</v>
      </c>
      <c r="F33" s="120">
        <v>113.3</v>
      </c>
      <c r="G33" s="120">
        <v>80</v>
      </c>
      <c r="H33" s="120">
        <f t="shared" si="0"/>
        <v>3864</v>
      </c>
      <c r="I33" s="121">
        <v>1.1000000000000001</v>
      </c>
      <c r="J33" s="121">
        <f t="shared" si="1"/>
        <v>4250.3999999999996</v>
      </c>
      <c r="K33" s="123"/>
      <c r="L33" s="123"/>
      <c r="M33" s="141">
        <f>J33+K33</f>
        <v>4250.3999999999996</v>
      </c>
      <c r="N33" s="141">
        <v>4251</v>
      </c>
    </row>
    <row r="34" spans="1:16" s="34" customFormat="1" ht="26.15" customHeight="1">
      <c r="A34" s="105">
        <v>28</v>
      </c>
      <c r="B34" s="106" t="s">
        <v>127</v>
      </c>
      <c r="C34" s="142" t="s">
        <v>16</v>
      </c>
      <c r="D34" s="113" t="s">
        <v>128</v>
      </c>
      <c r="E34" s="113">
        <v>86.8</v>
      </c>
      <c r="F34" s="113">
        <v>39.4</v>
      </c>
      <c r="G34" s="113">
        <v>80</v>
      </c>
      <c r="H34" s="113">
        <f t="shared" si="0"/>
        <v>3792</v>
      </c>
      <c r="I34" s="111">
        <v>1.1000000000000001</v>
      </c>
      <c r="J34" s="111">
        <f t="shared" si="1"/>
        <v>4171.2</v>
      </c>
      <c r="K34" s="113"/>
      <c r="L34" s="113"/>
      <c r="M34" s="111">
        <f>J34+K34</f>
        <v>4171.2</v>
      </c>
      <c r="N34" s="114">
        <v>4171.2</v>
      </c>
      <c r="O34" s="79"/>
    </row>
    <row r="35" spans="1:16" ht="26.15" customHeight="1">
      <c r="A35" s="143" t="s">
        <v>168</v>
      </c>
      <c r="B35" s="144"/>
      <c r="C35" s="144"/>
      <c r="D35" s="144"/>
      <c r="E35" s="144"/>
      <c r="F35" s="144"/>
      <c r="G35" s="144"/>
      <c r="H35" s="144">
        <f>SUM(H3:H34)</f>
        <v>41854</v>
      </c>
      <c r="I35" s="144"/>
      <c r="J35" s="145">
        <f>SUM(J3:J34)</f>
        <v>46039.4</v>
      </c>
      <c r="K35" s="578"/>
      <c r="L35" s="578"/>
      <c r="M35" s="146">
        <f>SUM(M3:M34)</f>
        <v>38003.9</v>
      </c>
      <c r="N35" s="147">
        <f>SUM(N3:N34)</f>
        <v>38002.1</v>
      </c>
      <c r="O35" s="68">
        <f>M35-N35</f>
        <v>1.8000000000029099</v>
      </c>
      <c r="P35" s="68">
        <f>M35/H35</f>
        <v>0.90801118172695505</v>
      </c>
    </row>
    <row r="36" spans="1:16" ht="26.15" customHeight="1">
      <c r="A36" s="559" t="s">
        <v>112</v>
      </c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148">
        <v>-1967</v>
      </c>
    </row>
    <row r="37" spans="1:16" ht="26.15" customHeight="1">
      <c r="A37" s="554" t="s">
        <v>117</v>
      </c>
      <c r="B37" s="555"/>
      <c r="C37" s="557" t="s">
        <v>169</v>
      </c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93">
        <v>-300</v>
      </c>
    </row>
    <row r="38" spans="1:16" ht="26.15" customHeight="1">
      <c r="A38" s="556"/>
      <c r="B38" s="555"/>
      <c r="C38" s="557" t="s">
        <v>170</v>
      </c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93">
        <v>-400</v>
      </c>
    </row>
    <row r="39" spans="1:16" ht="26.15" customHeight="1">
      <c r="A39" s="556"/>
      <c r="B39" s="555"/>
      <c r="C39" s="557" t="s">
        <v>171</v>
      </c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93">
        <v>-300</v>
      </c>
    </row>
    <row r="40" spans="1:16" ht="26.15" customHeight="1">
      <c r="A40" s="556"/>
      <c r="B40" s="555"/>
      <c r="C40" s="557" t="s">
        <v>172</v>
      </c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93">
        <v>-27535.31</v>
      </c>
    </row>
    <row r="41" spans="1:16" ht="26.15" customHeight="1">
      <c r="A41" s="556"/>
      <c r="B41" s="555"/>
      <c r="C41" s="557" t="s">
        <v>173</v>
      </c>
      <c r="D41" s="558"/>
      <c r="E41" s="558"/>
      <c r="F41" s="558"/>
      <c r="G41" s="558"/>
      <c r="H41" s="558"/>
      <c r="I41" s="558"/>
      <c r="J41" s="558"/>
      <c r="K41" s="558"/>
      <c r="L41" s="558"/>
      <c r="M41" s="558"/>
      <c r="N41" s="93">
        <f>-69.74*2-49.74</f>
        <v>-189.22</v>
      </c>
    </row>
    <row r="42" spans="1:16" ht="26.15" customHeight="1">
      <c r="A42" s="556"/>
      <c r="B42" s="555"/>
      <c r="C42" s="557" t="s">
        <v>174</v>
      </c>
      <c r="D42" s="558"/>
      <c r="E42" s="558"/>
      <c r="F42" s="558"/>
      <c r="G42" s="558"/>
      <c r="H42" s="558"/>
      <c r="I42" s="558"/>
      <c r="J42" s="558"/>
      <c r="K42" s="558"/>
      <c r="L42" s="558"/>
      <c r="M42" s="558"/>
      <c r="N42" s="93">
        <v>-100</v>
      </c>
    </row>
    <row r="43" spans="1:16" ht="26.15" customHeight="1">
      <c r="A43" s="556"/>
      <c r="B43" s="555"/>
      <c r="C43" s="557" t="s">
        <v>175</v>
      </c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93">
        <v>-300</v>
      </c>
    </row>
    <row r="44" spans="1:16" ht="26.15" customHeight="1">
      <c r="A44" s="556"/>
      <c r="B44" s="555"/>
      <c r="C44" s="575" t="s">
        <v>176</v>
      </c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93">
        <f>-6*270</f>
        <v>-1620</v>
      </c>
    </row>
    <row r="45" spans="1:16" ht="26.15" customHeight="1">
      <c r="A45" s="556"/>
      <c r="B45" s="555"/>
      <c r="C45" s="557" t="s">
        <v>177</v>
      </c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93">
        <v>-5990</v>
      </c>
    </row>
    <row r="46" spans="1:16" ht="26.15" customHeight="1">
      <c r="A46" s="556"/>
      <c r="B46" s="555"/>
      <c r="C46" s="557" t="s">
        <v>178</v>
      </c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93">
        <f>-7*13</f>
        <v>-91</v>
      </c>
    </row>
    <row r="47" spans="1:16" ht="26.15" customHeight="1">
      <c r="A47" s="590"/>
      <c r="B47" s="591"/>
      <c r="C47" s="558" t="s">
        <v>179</v>
      </c>
      <c r="D47" s="558"/>
      <c r="E47" s="558"/>
      <c r="F47" s="558"/>
      <c r="G47" s="558"/>
      <c r="H47" s="558"/>
      <c r="I47" s="558"/>
      <c r="J47" s="558"/>
      <c r="K47" s="558"/>
      <c r="L47" s="558"/>
      <c r="M47" s="558"/>
      <c r="N47" s="95">
        <v>-300</v>
      </c>
    </row>
    <row r="48" spans="1:16" ht="26.15" customHeight="1">
      <c r="A48" s="590"/>
      <c r="B48" s="591"/>
      <c r="C48" s="592" t="s">
        <v>180</v>
      </c>
      <c r="D48" s="593"/>
      <c r="E48" s="593"/>
      <c r="F48" s="593"/>
      <c r="G48" s="593"/>
      <c r="H48" s="593"/>
      <c r="I48" s="593"/>
      <c r="J48" s="593"/>
      <c r="K48" s="593"/>
      <c r="L48" s="593"/>
      <c r="M48" s="593"/>
      <c r="N48" s="95">
        <f>'2025年10月电费'!N48</f>
        <v>3553.8999999999905</v>
      </c>
    </row>
    <row r="49" spans="1:15" s="8" customFormat="1" ht="26.15" customHeight="1">
      <c r="A49" s="594" t="s">
        <v>140</v>
      </c>
      <c r="B49" s="594"/>
      <c r="C49" s="594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88">
        <f>N35+SUM(N36:N48)</f>
        <v>2463.4699999999939</v>
      </c>
      <c r="O49" s="9"/>
    </row>
    <row r="50" spans="1:15" s="8" customFormat="1" ht="26.15" customHeight="1">
      <c r="A50" s="596" t="s">
        <v>181</v>
      </c>
      <c r="B50" s="596"/>
      <c r="C50" s="596"/>
      <c r="D50" s="596"/>
      <c r="E50" s="596"/>
      <c r="F50" s="596"/>
      <c r="G50" s="596"/>
      <c r="H50" s="596"/>
      <c r="I50" s="596"/>
      <c r="J50" s="596"/>
      <c r="K50" s="596"/>
      <c r="L50" s="596"/>
      <c r="M50" s="596"/>
      <c r="N50" s="8">
        <f>3300*0.774+100</f>
        <v>2654.2000000000003</v>
      </c>
      <c r="O50" s="9"/>
    </row>
    <row r="51" spans="1:15" s="8" customFormat="1" ht="26.15" customHeight="1">
      <c r="A51" s="543" t="s">
        <v>182</v>
      </c>
      <c r="B51" s="543"/>
      <c r="C51" s="543"/>
      <c r="D51" s="543"/>
      <c r="E51" s="543"/>
      <c r="F51" s="543"/>
      <c r="G51" s="543"/>
      <c r="H51" s="543"/>
      <c r="I51" s="543"/>
      <c r="J51" s="543"/>
      <c r="K51" s="543"/>
      <c r="L51" s="543"/>
      <c r="M51" s="543"/>
      <c r="N51" s="8">
        <f>1949.6*7</f>
        <v>13647.2</v>
      </c>
      <c r="O51" s="9"/>
    </row>
    <row r="52" spans="1:15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12"/>
      <c r="O52" s="9"/>
    </row>
    <row r="53" spans="1:15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12"/>
      <c r="O53" s="9"/>
    </row>
    <row r="54" spans="1:15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12"/>
      <c r="O54" s="9"/>
    </row>
    <row r="55" spans="1:15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12"/>
      <c r="O55" s="9"/>
    </row>
    <row r="56" spans="1:15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12"/>
      <c r="O56" s="9"/>
    </row>
    <row r="57" spans="1:15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12"/>
      <c r="O57" s="9"/>
    </row>
    <row r="58" spans="1:15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12"/>
      <c r="O58" s="9"/>
    </row>
    <row r="59" spans="1:15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12"/>
      <c r="O59" s="9"/>
    </row>
    <row r="60" spans="1:15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12"/>
      <c r="O60" s="9"/>
    </row>
    <row r="61" spans="1:15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12"/>
      <c r="O61" s="9"/>
    </row>
    <row r="62" spans="1:15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12"/>
      <c r="O62" s="9"/>
    </row>
    <row r="63" spans="1:15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12"/>
      <c r="O63" s="9"/>
    </row>
    <row r="64" spans="1:15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12"/>
      <c r="O64" s="9"/>
    </row>
    <row r="65" spans="1:15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12"/>
      <c r="O65" s="9"/>
    </row>
    <row r="66" spans="1:15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12"/>
      <c r="O66" s="9"/>
    </row>
    <row r="67" spans="1:15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12"/>
      <c r="O67" s="9"/>
    </row>
    <row r="68" spans="1:15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12"/>
      <c r="O68" s="9"/>
    </row>
    <row r="69" spans="1:15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12"/>
      <c r="O69" s="9"/>
    </row>
    <row r="70" spans="1:15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12"/>
      <c r="O70" s="9"/>
    </row>
    <row r="71" spans="1:15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12"/>
      <c r="O71" s="9"/>
    </row>
    <row r="72" spans="1:15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12"/>
      <c r="O72" s="9"/>
    </row>
    <row r="73" spans="1:15" s="8" customFormat="1" ht="26.15" customHeight="1">
      <c r="A73" s="10"/>
      <c r="B73" s="10"/>
      <c r="C73" s="10"/>
      <c r="D73" s="35"/>
      <c r="E73" s="12"/>
      <c r="F73" s="12"/>
      <c r="G73" s="12"/>
      <c r="H73" s="12"/>
      <c r="I73" s="9"/>
      <c r="J73" s="9"/>
      <c r="K73" s="9"/>
      <c r="L73" s="9"/>
      <c r="M73" s="12"/>
      <c r="O73" s="9"/>
    </row>
    <row r="74" spans="1:15" s="8" customFormat="1" ht="26.15" customHeight="1">
      <c r="A74" s="10"/>
      <c r="B74" s="10"/>
      <c r="C74" s="10"/>
      <c r="D74" s="35"/>
      <c r="E74" s="12"/>
      <c r="F74" s="12"/>
      <c r="G74" s="12"/>
      <c r="H74" s="12"/>
      <c r="I74" s="9"/>
      <c r="J74" s="9"/>
      <c r="K74" s="9"/>
      <c r="L74" s="9"/>
      <c r="M74" s="12"/>
      <c r="O74" s="9"/>
    </row>
    <row r="75" spans="1:15" s="8" customFormat="1" ht="26.15" customHeight="1">
      <c r="A75" s="10"/>
      <c r="B75" s="10"/>
      <c r="C75" s="10"/>
      <c r="D75" s="35"/>
      <c r="E75" s="12"/>
      <c r="F75" s="12"/>
      <c r="G75" s="12"/>
      <c r="H75" s="12"/>
      <c r="I75" s="9"/>
      <c r="J75" s="9"/>
      <c r="K75" s="9"/>
      <c r="L75" s="9"/>
      <c r="M75" s="12"/>
      <c r="O75" s="9"/>
    </row>
    <row r="76" spans="1:15" s="8" customFormat="1" ht="26.15" customHeight="1">
      <c r="A76" s="10"/>
      <c r="B76" s="10"/>
      <c r="C76" s="10"/>
      <c r="D76" s="35"/>
      <c r="E76" s="12"/>
      <c r="F76" s="12"/>
      <c r="G76" s="12"/>
      <c r="H76" s="12"/>
      <c r="I76" s="9"/>
      <c r="J76" s="9"/>
      <c r="K76" s="9"/>
      <c r="L76" s="9"/>
      <c r="M76" s="12"/>
      <c r="O76" s="9"/>
    </row>
    <row r="77" spans="1:15" s="8" customFormat="1" ht="26.15" customHeight="1">
      <c r="A77" s="10"/>
      <c r="B77" s="10"/>
      <c r="C77" s="10"/>
      <c r="D77" s="35"/>
      <c r="E77" s="12"/>
      <c r="F77" s="12"/>
      <c r="G77" s="12"/>
      <c r="H77" s="12"/>
      <c r="I77" s="9"/>
      <c r="J77" s="9"/>
      <c r="K77" s="9"/>
      <c r="L77" s="9"/>
      <c r="M77" s="12"/>
      <c r="O77" s="9"/>
    </row>
    <row r="78" spans="1:15" s="8" customFormat="1" ht="26.15" customHeight="1">
      <c r="A78" s="10"/>
      <c r="B78" s="10"/>
      <c r="C78" s="10"/>
      <c r="D78" s="35"/>
      <c r="E78" s="12"/>
      <c r="F78" s="12"/>
      <c r="G78" s="12"/>
      <c r="H78" s="12"/>
      <c r="I78" s="9"/>
      <c r="J78" s="9"/>
      <c r="K78" s="9"/>
      <c r="L78" s="9"/>
      <c r="M78" s="12"/>
      <c r="O78" s="9"/>
    </row>
    <row r="79" spans="1:15" s="8" customFormat="1" ht="26.15" customHeight="1">
      <c r="A79" s="10"/>
      <c r="B79" s="10"/>
      <c r="C79" s="10"/>
      <c r="D79" s="35"/>
      <c r="E79" s="12"/>
      <c r="F79" s="12"/>
      <c r="G79" s="12"/>
      <c r="H79" s="12"/>
      <c r="I79" s="9"/>
      <c r="J79" s="9"/>
      <c r="K79" s="9"/>
      <c r="L79" s="9"/>
      <c r="M79" s="12"/>
      <c r="O79" s="9"/>
    </row>
    <row r="80" spans="1:15" s="8" customFormat="1" ht="26.15" customHeight="1">
      <c r="A80" s="10"/>
      <c r="B80" s="10"/>
      <c r="C80" s="10"/>
      <c r="D80" s="35"/>
      <c r="E80" s="12"/>
      <c r="F80" s="12"/>
      <c r="G80" s="12"/>
      <c r="H80" s="12"/>
      <c r="I80" s="9"/>
      <c r="J80" s="9"/>
      <c r="K80" s="9"/>
      <c r="L80" s="9"/>
      <c r="M80" s="12"/>
      <c r="O80" s="9"/>
    </row>
  </sheetData>
  <mergeCells count="36">
    <mergeCell ref="A1:M1"/>
    <mergeCell ref="K35:L35"/>
    <mergeCell ref="A36:M36"/>
    <mergeCell ref="C37:M37"/>
    <mergeCell ref="C38:M38"/>
    <mergeCell ref="A49:M49"/>
    <mergeCell ref="A50:M50"/>
    <mergeCell ref="A51:M51"/>
    <mergeCell ref="A3:A4"/>
    <mergeCell ref="A6:A7"/>
    <mergeCell ref="A10:A12"/>
    <mergeCell ref="A16:A17"/>
    <mergeCell ref="B3:B4"/>
    <mergeCell ref="B6:B7"/>
    <mergeCell ref="B10:B12"/>
    <mergeCell ref="B16:B17"/>
    <mergeCell ref="C16:C17"/>
    <mergeCell ref="M3:M4"/>
    <mergeCell ref="M6:M7"/>
    <mergeCell ref="M10:M12"/>
    <mergeCell ref="M16:M17"/>
    <mergeCell ref="N3:N4"/>
    <mergeCell ref="N6:N7"/>
    <mergeCell ref="N10:N12"/>
    <mergeCell ref="N16:N17"/>
    <mergeCell ref="A37:B48"/>
    <mergeCell ref="C44:M44"/>
    <mergeCell ref="C45:M45"/>
    <mergeCell ref="C46:M46"/>
    <mergeCell ref="C47:M47"/>
    <mergeCell ref="C48:M48"/>
    <mergeCell ref="C39:M39"/>
    <mergeCell ref="C40:M40"/>
    <mergeCell ref="C41:M41"/>
    <mergeCell ref="C42:M42"/>
    <mergeCell ref="C43:M43"/>
  </mergeCells>
  <phoneticPr fontId="22" type="noConversion"/>
  <conditionalFormatting sqref="J3">
    <cfRule type="expression" dxfId="35" priority="1">
      <formula>J3=""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79"/>
  <sheetViews>
    <sheetView topLeftCell="B1" workbookViewId="0">
      <pane xSplit="12" ySplit="1" topLeftCell="N32" activePane="bottomRight" state="frozen"/>
      <selection activeCell="B1" sqref="B1"/>
      <selection pane="topRight"/>
      <selection pane="bottomLeft"/>
      <selection pane="bottomRight" activeCell="O48" sqref="O48"/>
    </sheetView>
  </sheetViews>
  <sheetFormatPr defaultColWidth="8.6640625" defaultRowHeight="26.15" customHeight="1"/>
  <cols>
    <col min="1" max="1" width="5.33203125" style="10" customWidth="1"/>
    <col min="2" max="2" width="24.1640625" style="10" customWidth="1"/>
    <col min="3" max="3" width="6.58203125" style="10" customWidth="1"/>
    <col min="4" max="4" width="9.1640625" style="35" customWidth="1"/>
    <col min="5" max="5" width="13.4140625" style="12" customWidth="1"/>
    <col min="6" max="6" width="13.1640625" style="12" customWidth="1"/>
    <col min="7" max="7" width="5.33203125" style="12" customWidth="1"/>
    <col min="8" max="8" width="7.33203125" style="12" customWidth="1"/>
    <col min="9" max="9" width="5.83203125" style="9" customWidth="1"/>
    <col min="10" max="11" width="11.1640625" style="9" customWidth="1"/>
    <col min="12" max="12" width="9.08203125" style="9" customWidth="1"/>
    <col min="13" max="13" width="8.5" style="9" customWidth="1"/>
    <col min="14" max="15" width="12.58203125" style="8" customWidth="1"/>
    <col min="16" max="16" width="11.5" style="9" customWidth="1"/>
    <col min="17" max="18" width="10.25" style="9" customWidth="1"/>
    <col min="19" max="16384" width="8.6640625" style="9"/>
  </cols>
  <sheetData>
    <row r="1" spans="1:16" ht="40" customHeight="1">
      <c r="A1" s="576" t="s">
        <v>183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36"/>
      <c r="O1" s="37"/>
    </row>
    <row r="2" spans="1:16" s="10" customFormat="1" ht="26.15" customHeight="1">
      <c r="A2" s="38" t="s">
        <v>1</v>
      </c>
      <c r="B2" s="39" t="s">
        <v>2</v>
      </c>
      <c r="C2" s="39" t="s">
        <v>3</v>
      </c>
      <c r="D2" s="40" t="s">
        <v>4</v>
      </c>
      <c r="E2" s="39" t="s">
        <v>5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184</v>
      </c>
      <c r="K2" s="39" t="s">
        <v>10</v>
      </c>
      <c r="L2" s="39" t="s">
        <v>11</v>
      </c>
      <c r="M2" s="39" t="s">
        <v>12</v>
      </c>
      <c r="N2" s="39" t="s">
        <v>13</v>
      </c>
      <c r="O2" s="41" t="s">
        <v>185</v>
      </c>
    </row>
    <row r="3" spans="1:16" s="34" customFormat="1" ht="26.15" customHeight="1">
      <c r="A3" s="606">
        <f>ROW()-2</f>
        <v>1</v>
      </c>
      <c r="B3" s="610" t="s">
        <v>15</v>
      </c>
      <c r="C3" s="42" t="s">
        <v>16</v>
      </c>
      <c r="D3" s="43">
        <v>135407</v>
      </c>
      <c r="E3" s="44">
        <v>1507.4</v>
      </c>
      <c r="F3" s="44">
        <v>1398.9</v>
      </c>
      <c r="G3" s="45">
        <v>60</v>
      </c>
      <c r="H3" s="45">
        <f t="shared" ref="H3:H35" si="0">(E3-F3)*G3</f>
        <v>6510</v>
      </c>
      <c r="I3" s="46">
        <v>1.1000000000000001</v>
      </c>
      <c r="J3" s="46">
        <f t="shared" ref="J3:J35" si="1">H3*I3</f>
        <v>7161.0000000000009</v>
      </c>
      <c r="K3" s="46">
        <f>(E3-F3)*G3*I3</f>
        <v>7161.0000000000009</v>
      </c>
      <c r="L3" s="47"/>
      <c r="M3" s="48"/>
      <c r="N3" s="601">
        <f>K3+K4</f>
        <v>8994.7000000000007</v>
      </c>
      <c r="O3" s="601">
        <v>8994</v>
      </c>
    </row>
    <row r="4" spans="1:16" s="34" customFormat="1" ht="26.15" customHeight="1">
      <c r="A4" s="607"/>
      <c r="B4" s="607"/>
      <c r="C4" s="49" t="s">
        <v>17</v>
      </c>
      <c r="D4" s="50">
        <v>222933</v>
      </c>
      <c r="E4" s="51">
        <v>13333</v>
      </c>
      <c r="F4" s="51">
        <v>11666</v>
      </c>
      <c r="G4" s="51">
        <v>1</v>
      </c>
      <c r="H4" s="52">
        <f t="shared" si="0"/>
        <v>1667</v>
      </c>
      <c r="I4" s="53">
        <v>1.1000000000000001</v>
      </c>
      <c r="J4" s="53">
        <f t="shared" si="1"/>
        <v>1833.7</v>
      </c>
      <c r="K4" s="46">
        <f t="shared" ref="K4:K35" si="2">(E4-F4)*G4*I4</f>
        <v>1833.7</v>
      </c>
      <c r="L4" s="54"/>
      <c r="M4" s="55"/>
      <c r="N4" s="602"/>
      <c r="O4" s="602"/>
    </row>
    <row r="5" spans="1:16" ht="26.15" customHeight="1">
      <c r="A5" s="58">
        <v>2</v>
      </c>
      <c r="B5" s="59" t="s">
        <v>18</v>
      </c>
      <c r="C5" s="59" t="s">
        <v>16</v>
      </c>
      <c r="D5" s="60">
        <v>135406</v>
      </c>
      <c r="E5" s="61">
        <v>620.20000000000005</v>
      </c>
      <c r="F5" s="61">
        <v>579.70000000000005</v>
      </c>
      <c r="G5" s="63">
        <v>40</v>
      </c>
      <c r="H5" s="63">
        <f t="shared" si="0"/>
        <v>1620</v>
      </c>
      <c r="I5" s="64">
        <v>1.1000000000000001</v>
      </c>
      <c r="J5" s="64">
        <f t="shared" si="1"/>
        <v>1782.0000000000002</v>
      </c>
      <c r="K5" s="46">
        <f t="shared" si="2"/>
        <v>1782.0000000000002</v>
      </c>
      <c r="L5" s="65"/>
      <c r="M5" s="66"/>
      <c r="N5" s="67">
        <f>K5</f>
        <v>1782.0000000000002</v>
      </c>
      <c r="O5" s="67">
        <v>1782</v>
      </c>
      <c r="P5" s="68"/>
    </row>
    <row r="6" spans="1:16" s="34" customFormat="1" ht="26.15" customHeight="1">
      <c r="A6" s="608">
        <v>3</v>
      </c>
      <c r="B6" s="607" t="s">
        <v>20</v>
      </c>
      <c r="C6" s="49" t="s">
        <v>16</v>
      </c>
      <c r="D6" s="50">
        <v>135400</v>
      </c>
      <c r="E6" s="51">
        <v>15.5</v>
      </c>
      <c r="F6" s="51">
        <v>15</v>
      </c>
      <c r="G6" s="52">
        <v>40</v>
      </c>
      <c r="H6" s="52">
        <f t="shared" si="0"/>
        <v>20</v>
      </c>
      <c r="I6" s="53">
        <v>1.1000000000000001</v>
      </c>
      <c r="J6" s="53">
        <f t="shared" si="1"/>
        <v>22</v>
      </c>
      <c r="K6" s="46">
        <f t="shared" si="2"/>
        <v>22</v>
      </c>
      <c r="L6" s="54"/>
      <c r="M6" s="55"/>
      <c r="N6" s="602">
        <f>K6+K7</f>
        <v>90.2</v>
      </c>
      <c r="O6" s="602">
        <v>90</v>
      </c>
    </row>
    <row r="7" spans="1:16" s="34" customFormat="1" ht="26.15" customHeight="1">
      <c r="A7" s="607"/>
      <c r="B7" s="607"/>
      <c r="C7" s="49" t="s">
        <v>17</v>
      </c>
      <c r="D7" s="70" t="s">
        <v>85</v>
      </c>
      <c r="E7" s="52">
        <v>905</v>
      </c>
      <c r="F7" s="52">
        <v>843</v>
      </c>
      <c r="G7" s="52">
        <v>1</v>
      </c>
      <c r="H7" s="52">
        <f t="shared" si="0"/>
        <v>62</v>
      </c>
      <c r="I7" s="53">
        <v>1.1000000000000001</v>
      </c>
      <c r="J7" s="53">
        <f t="shared" si="1"/>
        <v>68.2</v>
      </c>
      <c r="K7" s="46">
        <f t="shared" si="2"/>
        <v>68.2</v>
      </c>
      <c r="L7" s="54"/>
      <c r="M7" s="55"/>
      <c r="N7" s="602"/>
      <c r="O7" s="602"/>
    </row>
    <row r="8" spans="1:16" ht="26.15" customHeight="1">
      <c r="A8" s="609">
        <v>4</v>
      </c>
      <c r="B8" s="520" t="s">
        <v>22</v>
      </c>
      <c r="C8" s="59" t="s">
        <v>16</v>
      </c>
      <c r="D8" s="60">
        <v>135405</v>
      </c>
      <c r="E8" s="61">
        <v>514</v>
      </c>
      <c r="F8" s="61">
        <v>474.7</v>
      </c>
      <c r="G8" s="63">
        <v>40</v>
      </c>
      <c r="H8" s="63">
        <f t="shared" si="0"/>
        <v>1572.0000000000005</v>
      </c>
      <c r="I8" s="64">
        <v>1.1000000000000001</v>
      </c>
      <c r="J8" s="64">
        <f t="shared" ref="J8" si="3">H8*I8</f>
        <v>1729.2000000000007</v>
      </c>
      <c r="K8" s="46">
        <f t="shared" si="2"/>
        <v>1729.2000000000007</v>
      </c>
      <c r="L8" s="61"/>
      <c r="M8" s="61"/>
      <c r="N8" s="524">
        <f>K8+K9</f>
        <v>1914.0000000000007</v>
      </c>
      <c r="O8" s="603">
        <v>1914</v>
      </c>
    </row>
    <row r="9" spans="1:16" ht="26.15" customHeight="1">
      <c r="A9" s="609"/>
      <c r="B9" s="520"/>
      <c r="C9" s="59" t="s">
        <v>17</v>
      </c>
      <c r="D9" s="60" t="s">
        <v>85</v>
      </c>
      <c r="E9" s="61">
        <v>168</v>
      </c>
      <c r="F9" s="61">
        <v>0</v>
      </c>
      <c r="G9" s="63">
        <v>1</v>
      </c>
      <c r="H9" s="63">
        <f t="shared" si="0"/>
        <v>168</v>
      </c>
      <c r="I9" s="64">
        <v>1.1000000000000001</v>
      </c>
      <c r="J9" s="64">
        <f t="shared" si="1"/>
        <v>184.8</v>
      </c>
      <c r="K9" s="46">
        <f t="shared" si="2"/>
        <v>184.8</v>
      </c>
      <c r="L9" s="65"/>
      <c r="M9" s="66"/>
      <c r="N9" s="524"/>
      <c r="O9" s="603"/>
      <c r="P9" s="68"/>
    </row>
    <row r="10" spans="1:16" s="34" customFormat="1" ht="26.15" customHeight="1">
      <c r="A10" s="69">
        <v>5</v>
      </c>
      <c r="B10" s="49" t="s">
        <v>23</v>
      </c>
      <c r="C10" s="49" t="s">
        <v>16</v>
      </c>
      <c r="D10" s="50">
        <v>135401</v>
      </c>
      <c r="E10" s="51">
        <v>99.5</v>
      </c>
      <c r="F10" s="51">
        <v>92.7</v>
      </c>
      <c r="G10" s="52">
        <v>20</v>
      </c>
      <c r="H10" s="52">
        <f t="shared" si="0"/>
        <v>135.99999999999994</v>
      </c>
      <c r="I10" s="53">
        <v>1.1000000000000001</v>
      </c>
      <c r="J10" s="53">
        <f t="shared" si="1"/>
        <v>149.59999999999994</v>
      </c>
      <c r="K10" s="46">
        <f t="shared" si="2"/>
        <v>149.59999999999994</v>
      </c>
      <c r="L10" s="54"/>
      <c r="M10" s="55"/>
      <c r="N10" s="71">
        <f>K10</f>
        <v>149.59999999999994</v>
      </c>
      <c r="O10" s="71">
        <v>150</v>
      </c>
    </row>
    <row r="11" spans="1:16" ht="26.15" customHeight="1">
      <c r="A11" s="609">
        <v>6</v>
      </c>
      <c r="B11" s="520" t="s">
        <v>24</v>
      </c>
      <c r="C11" s="59" t="s">
        <v>25</v>
      </c>
      <c r="D11" s="60">
        <v>135402</v>
      </c>
      <c r="E11" s="61">
        <v>826.1</v>
      </c>
      <c r="F11" s="61">
        <v>750.1</v>
      </c>
      <c r="G11" s="63">
        <v>20</v>
      </c>
      <c r="H11" s="63">
        <f t="shared" si="0"/>
        <v>1520</v>
      </c>
      <c r="I11" s="64">
        <v>1.1000000000000001</v>
      </c>
      <c r="J11" s="64">
        <f t="shared" si="1"/>
        <v>1672.0000000000002</v>
      </c>
      <c r="K11" s="46">
        <f t="shared" si="2"/>
        <v>1672.0000000000002</v>
      </c>
      <c r="L11" s="65"/>
      <c r="M11" s="66"/>
      <c r="N11" s="524">
        <f>K11+K12+K13</f>
        <v>2846.800000000002</v>
      </c>
      <c r="O11" s="524">
        <v>2846.8</v>
      </c>
    </row>
    <row r="12" spans="1:16" ht="26.15" customHeight="1">
      <c r="A12" s="609"/>
      <c r="B12" s="520"/>
      <c r="C12" s="59" t="s">
        <v>26</v>
      </c>
      <c r="D12" s="60">
        <v>135408</v>
      </c>
      <c r="E12" s="61">
        <v>319.8</v>
      </c>
      <c r="F12" s="61">
        <v>302.39999999999998</v>
      </c>
      <c r="G12" s="63">
        <v>40</v>
      </c>
      <c r="H12" s="63">
        <f t="shared" si="0"/>
        <v>696.00000000000136</v>
      </c>
      <c r="I12" s="64">
        <v>1.1000000000000001</v>
      </c>
      <c r="J12" s="64">
        <f t="shared" si="1"/>
        <v>765.60000000000161</v>
      </c>
      <c r="K12" s="46">
        <f t="shared" si="2"/>
        <v>765.60000000000161</v>
      </c>
      <c r="L12" s="65"/>
      <c r="M12" s="66"/>
      <c r="N12" s="524"/>
      <c r="O12" s="524"/>
    </row>
    <row r="13" spans="1:16" ht="26.15" customHeight="1">
      <c r="A13" s="609"/>
      <c r="B13" s="520"/>
      <c r="C13" s="59" t="s">
        <v>166</v>
      </c>
      <c r="D13" s="60" t="s">
        <v>167</v>
      </c>
      <c r="E13" s="61">
        <v>14.6</v>
      </c>
      <c r="F13" s="61">
        <v>5.3</v>
      </c>
      <c r="G13" s="63">
        <v>40</v>
      </c>
      <c r="H13" s="63">
        <f t="shared" si="0"/>
        <v>372</v>
      </c>
      <c r="I13" s="64">
        <v>1.1000000000000001</v>
      </c>
      <c r="J13" s="64">
        <f t="shared" si="1"/>
        <v>409.20000000000005</v>
      </c>
      <c r="K13" s="46">
        <f t="shared" si="2"/>
        <v>409.20000000000005</v>
      </c>
      <c r="L13" s="65"/>
      <c r="M13" s="66"/>
      <c r="N13" s="524"/>
      <c r="O13" s="524"/>
    </row>
    <row r="14" spans="1:16" s="34" customFormat="1" ht="26.15" customHeight="1">
      <c r="A14" s="69">
        <v>7</v>
      </c>
      <c r="B14" s="49" t="s">
        <v>27</v>
      </c>
      <c r="C14" s="49" t="s">
        <v>16</v>
      </c>
      <c r="D14" s="50">
        <v>136866</v>
      </c>
      <c r="E14" s="51">
        <v>276.39999999999998</v>
      </c>
      <c r="F14" s="51">
        <v>264.7</v>
      </c>
      <c r="G14" s="52">
        <v>20</v>
      </c>
      <c r="H14" s="52">
        <f t="shared" si="0"/>
        <v>233.99999999999977</v>
      </c>
      <c r="I14" s="53">
        <v>1.1000000000000001</v>
      </c>
      <c r="J14" s="53">
        <f t="shared" si="1"/>
        <v>257.39999999999975</v>
      </c>
      <c r="K14" s="46">
        <f t="shared" si="2"/>
        <v>257.39999999999975</v>
      </c>
      <c r="L14" s="54"/>
      <c r="M14" s="55"/>
      <c r="N14" s="71">
        <f>K14</f>
        <v>257.39999999999975</v>
      </c>
      <c r="O14" s="71">
        <v>257</v>
      </c>
    </row>
    <row r="15" spans="1:16" ht="26.15" customHeight="1">
      <c r="A15" s="58">
        <v>8</v>
      </c>
      <c r="B15" s="59" t="s">
        <v>28</v>
      </c>
      <c r="C15" s="59" t="s">
        <v>16</v>
      </c>
      <c r="D15" s="72">
        <v>135847</v>
      </c>
      <c r="E15" s="61">
        <v>260.39999999999998</v>
      </c>
      <c r="F15" s="61">
        <v>239.5</v>
      </c>
      <c r="G15" s="63">
        <v>40</v>
      </c>
      <c r="H15" s="63">
        <f t="shared" si="0"/>
        <v>835.99999999999909</v>
      </c>
      <c r="I15" s="64">
        <v>1.1000000000000001</v>
      </c>
      <c r="J15" s="64">
        <f t="shared" si="1"/>
        <v>919.59999999999911</v>
      </c>
      <c r="K15" s="46">
        <f t="shared" si="2"/>
        <v>919.59999999999911</v>
      </c>
      <c r="L15" s="65"/>
      <c r="M15" s="66"/>
      <c r="N15" s="73">
        <f>K15</f>
        <v>919.59999999999911</v>
      </c>
      <c r="O15" s="73">
        <v>919</v>
      </c>
      <c r="P15" s="74"/>
    </row>
    <row r="16" spans="1:16" s="34" customFormat="1" ht="26.15" customHeight="1">
      <c r="A16" s="69">
        <v>9</v>
      </c>
      <c r="B16" s="49" t="s">
        <v>29</v>
      </c>
      <c r="C16" s="49" t="s">
        <v>16</v>
      </c>
      <c r="D16" s="50">
        <v>135848</v>
      </c>
      <c r="E16" s="51">
        <v>913.3</v>
      </c>
      <c r="F16" s="51">
        <v>844</v>
      </c>
      <c r="G16" s="75">
        <v>40</v>
      </c>
      <c r="H16" s="52">
        <f t="shared" si="0"/>
        <v>2771.9999999999982</v>
      </c>
      <c r="I16" s="53">
        <v>1.1000000000000001</v>
      </c>
      <c r="J16" s="53">
        <f t="shared" si="1"/>
        <v>3049.1999999999985</v>
      </c>
      <c r="K16" s="46">
        <f t="shared" si="2"/>
        <v>3049.1999999999985</v>
      </c>
      <c r="L16" s="54"/>
      <c r="M16" s="55"/>
      <c r="N16" s="71">
        <f>K16</f>
        <v>3049.1999999999985</v>
      </c>
      <c r="O16" s="71">
        <v>3049.2</v>
      </c>
    </row>
    <row r="17" spans="1:18" ht="26.15" customHeight="1">
      <c r="A17" s="609">
        <v>10</v>
      </c>
      <c r="B17" s="520" t="s">
        <v>31</v>
      </c>
      <c r="C17" s="520" t="s">
        <v>16</v>
      </c>
      <c r="D17" s="60">
        <v>135846</v>
      </c>
      <c r="E17" s="61">
        <v>824.8</v>
      </c>
      <c r="F17" s="61">
        <v>768.8</v>
      </c>
      <c r="G17" s="76">
        <v>40</v>
      </c>
      <c r="H17" s="63">
        <f t="shared" si="0"/>
        <v>2240</v>
      </c>
      <c r="I17" s="64">
        <v>1.1000000000000001</v>
      </c>
      <c r="J17" s="64">
        <f t="shared" si="1"/>
        <v>2464</v>
      </c>
      <c r="K17" s="46">
        <f t="shared" si="2"/>
        <v>2464</v>
      </c>
      <c r="L17" s="65"/>
      <c r="M17" s="66"/>
      <c r="N17" s="524">
        <f>K17+K18</f>
        <v>3476</v>
      </c>
      <c r="O17" s="524">
        <v>3476</v>
      </c>
    </row>
    <row r="18" spans="1:18" ht="26.15" customHeight="1">
      <c r="A18" s="520"/>
      <c r="B18" s="520"/>
      <c r="C18" s="520"/>
      <c r="D18" s="77">
        <v>135379</v>
      </c>
      <c r="E18" s="66">
        <v>56.5</v>
      </c>
      <c r="F18" s="66">
        <v>45</v>
      </c>
      <c r="G18" s="66">
        <v>80</v>
      </c>
      <c r="H18" s="66">
        <f t="shared" si="0"/>
        <v>920</v>
      </c>
      <c r="I18" s="64">
        <v>1.1000000000000001</v>
      </c>
      <c r="J18" s="64">
        <f t="shared" si="1"/>
        <v>1012.0000000000001</v>
      </c>
      <c r="K18" s="46">
        <f t="shared" si="2"/>
        <v>1012.0000000000001</v>
      </c>
      <c r="L18" s="65"/>
      <c r="M18" s="66"/>
      <c r="N18" s="524"/>
      <c r="O18" s="524"/>
    </row>
    <row r="19" spans="1:18" s="34" customFormat="1" ht="26.15" customHeight="1">
      <c r="A19" s="49">
        <v>11</v>
      </c>
      <c r="B19" s="49" t="s">
        <v>32</v>
      </c>
      <c r="C19" s="49" t="s">
        <v>16</v>
      </c>
      <c r="D19" s="50">
        <v>135845</v>
      </c>
      <c r="E19" s="51">
        <v>554.6</v>
      </c>
      <c r="F19" s="51">
        <v>514.6</v>
      </c>
      <c r="G19" s="75">
        <v>40</v>
      </c>
      <c r="H19" s="52">
        <f t="shared" si="0"/>
        <v>1600</v>
      </c>
      <c r="I19" s="53">
        <v>1.1000000000000001</v>
      </c>
      <c r="J19" s="53">
        <f t="shared" si="1"/>
        <v>1760.0000000000002</v>
      </c>
      <c r="K19" s="46">
        <f t="shared" si="2"/>
        <v>1760.0000000000002</v>
      </c>
      <c r="L19" s="54"/>
      <c r="M19" s="55"/>
      <c r="N19" s="56">
        <f t="shared" ref="N19:N35" si="4">K19</f>
        <v>1760.0000000000002</v>
      </c>
      <c r="O19" s="56">
        <v>1760</v>
      </c>
      <c r="P19" s="78"/>
      <c r="Q19" s="71"/>
      <c r="R19" s="79"/>
    </row>
    <row r="20" spans="1:18" ht="26.15" customHeight="1">
      <c r="A20" s="59">
        <v>12</v>
      </c>
      <c r="B20" s="59" t="s">
        <v>33</v>
      </c>
      <c r="C20" s="59" t="s">
        <v>16</v>
      </c>
      <c r="D20" s="72">
        <v>135844</v>
      </c>
      <c r="E20" s="61">
        <v>83.5</v>
      </c>
      <c r="F20" s="61">
        <v>75.2</v>
      </c>
      <c r="G20" s="80">
        <v>30</v>
      </c>
      <c r="H20" s="63">
        <f t="shared" si="0"/>
        <v>248.99999999999991</v>
      </c>
      <c r="I20" s="64">
        <v>1.1000000000000001</v>
      </c>
      <c r="J20" s="64">
        <f t="shared" si="1"/>
        <v>273.89999999999992</v>
      </c>
      <c r="K20" s="46">
        <f t="shared" si="2"/>
        <v>273.89999999999992</v>
      </c>
      <c r="L20" s="65"/>
      <c r="M20" s="66"/>
      <c r="N20" s="73">
        <f t="shared" si="4"/>
        <v>273.89999999999992</v>
      </c>
      <c r="O20" s="73">
        <v>273</v>
      </c>
      <c r="P20" s="74"/>
    </row>
    <row r="21" spans="1:18" s="34" customFormat="1" ht="26.15" customHeight="1">
      <c r="A21" s="49">
        <v>13</v>
      </c>
      <c r="B21" s="49" t="s">
        <v>34</v>
      </c>
      <c r="C21" s="49" t="s">
        <v>16</v>
      </c>
      <c r="D21" s="81">
        <v>135844</v>
      </c>
      <c r="E21" s="51">
        <v>107.8</v>
      </c>
      <c r="F21" s="51">
        <v>96.8</v>
      </c>
      <c r="G21" s="82">
        <v>30</v>
      </c>
      <c r="H21" s="52">
        <f t="shared" si="0"/>
        <v>330</v>
      </c>
      <c r="I21" s="53">
        <v>1.1000000000000001</v>
      </c>
      <c r="J21" s="53">
        <f t="shared" si="1"/>
        <v>363.00000000000006</v>
      </c>
      <c r="K21" s="46">
        <f t="shared" si="2"/>
        <v>363.00000000000006</v>
      </c>
      <c r="L21" s="54"/>
      <c r="M21" s="55"/>
      <c r="N21" s="71">
        <f t="shared" si="4"/>
        <v>363.00000000000006</v>
      </c>
      <c r="O21" s="71">
        <v>363</v>
      </c>
      <c r="P21" s="83"/>
    </row>
    <row r="22" spans="1:18" ht="26.15" customHeight="1">
      <c r="A22" s="59">
        <v>14</v>
      </c>
      <c r="B22" s="59" t="s">
        <v>35</v>
      </c>
      <c r="C22" s="59" t="s">
        <v>16</v>
      </c>
      <c r="D22" s="72">
        <v>135850</v>
      </c>
      <c r="E22" s="61">
        <v>237.7</v>
      </c>
      <c r="F22" s="61">
        <v>223.9</v>
      </c>
      <c r="G22" s="80">
        <v>30</v>
      </c>
      <c r="H22" s="63">
        <f t="shared" si="0"/>
        <v>413.99999999999949</v>
      </c>
      <c r="I22" s="64">
        <v>1.1000000000000001</v>
      </c>
      <c r="J22" s="64">
        <f t="shared" si="1"/>
        <v>455.39999999999947</v>
      </c>
      <c r="K22" s="46">
        <f t="shared" si="2"/>
        <v>455.39999999999947</v>
      </c>
      <c r="L22" s="65"/>
      <c r="M22" s="66"/>
      <c r="N22" s="73">
        <f t="shared" si="4"/>
        <v>455.39999999999947</v>
      </c>
      <c r="O22" s="73">
        <v>455</v>
      </c>
      <c r="P22" s="74"/>
    </row>
    <row r="23" spans="1:18" s="34" customFormat="1" ht="26.15" customHeight="1">
      <c r="A23" s="49">
        <v>15</v>
      </c>
      <c r="B23" s="49" t="s">
        <v>36</v>
      </c>
      <c r="C23" s="49" t="s">
        <v>16</v>
      </c>
      <c r="D23" s="50">
        <v>135358</v>
      </c>
      <c r="E23" s="51">
        <v>265.8</v>
      </c>
      <c r="F23" s="51">
        <v>247.9</v>
      </c>
      <c r="G23" s="75">
        <v>40</v>
      </c>
      <c r="H23" s="52">
        <f t="shared" si="0"/>
        <v>716.00000000000023</v>
      </c>
      <c r="I23" s="53">
        <v>1.1000000000000001</v>
      </c>
      <c r="J23" s="53">
        <f t="shared" si="1"/>
        <v>787.60000000000036</v>
      </c>
      <c r="K23" s="46">
        <f t="shared" si="2"/>
        <v>787.60000000000036</v>
      </c>
      <c r="L23" s="54"/>
      <c r="M23" s="55"/>
      <c r="N23" s="71">
        <f t="shared" si="4"/>
        <v>787.60000000000036</v>
      </c>
      <c r="O23" s="71">
        <v>787.6</v>
      </c>
      <c r="P23" s="83"/>
    </row>
    <row r="24" spans="1:18" ht="26.15" customHeight="1">
      <c r="A24" s="59">
        <v>16</v>
      </c>
      <c r="B24" s="59" t="s">
        <v>126</v>
      </c>
      <c r="C24" s="59" t="s">
        <v>16</v>
      </c>
      <c r="D24" s="72">
        <v>135380</v>
      </c>
      <c r="E24" s="61">
        <v>380.2</v>
      </c>
      <c r="F24" s="61">
        <v>354.3</v>
      </c>
      <c r="G24" s="80">
        <v>40</v>
      </c>
      <c r="H24" s="63">
        <f t="shared" si="0"/>
        <v>1035.9999999999991</v>
      </c>
      <c r="I24" s="64">
        <v>1.1000000000000001</v>
      </c>
      <c r="J24" s="64">
        <f t="shared" si="1"/>
        <v>1139.599999999999</v>
      </c>
      <c r="K24" s="46">
        <f t="shared" si="2"/>
        <v>1139.599999999999</v>
      </c>
      <c r="L24" s="65"/>
      <c r="M24" s="66"/>
      <c r="N24" s="73">
        <f t="shared" si="4"/>
        <v>1139.599999999999</v>
      </c>
      <c r="O24" s="73">
        <v>1139</v>
      </c>
      <c r="R24" s="84"/>
    </row>
    <row r="25" spans="1:18" s="34" customFormat="1" ht="26.15" customHeight="1">
      <c r="A25" s="49">
        <v>17</v>
      </c>
      <c r="B25" s="49" t="s">
        <v>38</v>
      </c>
      <c r="C25" s="49" t="s">
        <v>16</v>
      </c>
      <c r="D25" s="50">
        <v>135376</v>
      </c>
      <c r="E25" s="51">
        <v>43.8</v>
      </c>
      <c r="F25" s="51">
        <v>41.7</v>
      </c>
      <c r="G25" s="75">
        <v>40</v>
      </c>
      <c r="H25" s="52">
        <f t="shared" si="0"/>
        <v>83.999999999999773</v>
      </c>
      <c r="I25" s="53">
        <v>1.1000000000000001</v>
      </c>
      <c r="J25" s="53">
        <f t="shared" si="1"/>
        <v>92.399999999999764</v>
      </c>
      <c r="K25" s="46">
        <f t="shared" si="2"/>
        <v>92.399999999999764</v>
      </c>
      <c r="L25" s="54"/>
      <c r="M25" s="55"/>
      <c r="N25" s="71">
        <f t="shared" si="4"/>
        <v>92.399999999999764</v>
      </c>
      <c r="O25" s="71">
        <v>93</v>
      </c>
      <c r="P25" s="83"/>
    </row>
    <row r="26" spans="1:18" ht="26.15" customHeight="1">
      <c r="A26" s="59">
        <v>18</v>
      </c>
      <c r="B26" s="59" t="s">
        <v>39</v>
      </c>
      <c r="C26" s="59" t="s">
        <v>16</v>
      </c>
      <c r="D26" s="85" t="s">
        <v>85</v>
      </c>
      <c r="E26" s="61">
        <v>726</v>
      </c>
      <c r="F26" s="61">
        <v>676</v>
      </c>
      <c r="G26" s="76">
        <v>1</v>
      </c>
      <c r="H26" s="63">
        <f t="shared" si="0"/>
        <v>50</v>
      </c>
      <c r="I26" s="64">
        <v>1.1000000000000001</v>
      </c>
      <c r="J26" s="64">
        <f t="shared" si="1"/>
        <v>55.000000000000007</v>
      </c>
      <c r="K26" s="46">
        <f t="shared" si="2"/>
        <v>55.000000000000007</v>
      </c>
      <c r="L26" s="65"/>
      <c r="M26" s="66"/>
      <c r="N26" s="73">
        <f t="shared" si="4"/>
        <v>55.000000000000007</v>
      </c>
      <c r="O26" s="73">
        <v>55</v>
      </c>
    </row>
    <row r="27" spans="1:18" s="34" customFormat="1" ht="26.15" customHeight="1">
      <c r="A27" s="49">
        <v>19</v>
      </c>
      <c r="B27" s="49" t="s">
        <v>41</v>
      </c>
      <c r="C27" s="49" t="s">
        <v>16</v>
      </c>
      <c r="D27" s="50" t="s">
        <v>85</v>
      </c>
      <c r="E27" s="51">
        <v>3389</v>
      </c>
      <c r="F27" s="51">
        <v>3040</v>
      </c>
      <c r="G27" s="75">
        <v>1</v>
      </c>
      <c r="H27" s="52">
        <f t="shared" si="0"/>
        <v>349</v>
      </c>
      <c r="I27" s="53">
        <v>1.1000000000000001</v>
      </c>
      <c r="J27" s="53">
        <f t="shared" si="1"/>
        <v>383.90000000000003</v>
      </c>
      <c r="K27" s="46">
        <f t="shared" si="2"/>
        <v>383.90000000000003</v>
      </c>
      <c r="L27" s="54"/>
      <c r="M27" s="55"/>
      <c r="N27" s="71">
        <f t="shared" si="4"/>
        <v>383.90000000000003</v>
      </c>
      <c r="O27" s="71">
        <v>383.9</v>
      </c>
      <c r="P27" s="83"/>
    </row>
    <row r="28" spans="1:18" ht="26.15" customHeight="1">
      <c r="A28" s="59">
        <v>20</v>
      </c>
      <c r="B28" s="59" t="s">
        <v>43</v>
      </c>
      <c r="C28" s="59" t="s">
        <v>16</v>
      </c>
      <c r="D28" s="60">
        <v>281917</v>
      </c>
      <c r="E28" s="61">
        <v>105.7</v>
      </c>
      <c r="F28" s="61">
        <v>92.1</v>
      </c>
      <c r="G28" s="76">
        <v>100</v>
      </c>
      <c r="H28" s="63">
        <f t="shared" si="0"/>
        <v>1360.0000000000009</v>
      </c>
      <c r="I28" s="64">
        <v>1.1000000000000001</v>
      </c>
      <c r="J28" s="64">
        <f t="shared" si="1"/>
        <v>1496.0000000000011</v>
      </c>
      <c r="K28" s="46">
        <f t="shared" si="2"/>
        <v>1496.0000000000011</v>
      </c>
      <c r="L28" s="65"/>
      <c r="M28" s="66"/>
      <c r="N28" s="73">
        <f t="shared" si="4"/>
        <v>1496.0000000000011</v>
      </c>
      <c r="O28" s="73">
        <v>1496</v>
      </c>
    </row>
    <row r="29" spans="1:18" s="34" customFormat="1" ht="26.15" customHeight="1">
      <c r="A29" s="49">
        <v>21</v>
      </c>
      <c r="B29" s="49" t="s">
        <v>44</v>
      </c>
      <c r="C29" s="49" t="s">
        <v>16</v>
      </c>
      <c r="D29" s="50">
        <v>136865</v>
      </c>
      <c r="E29" s="51">
        <v>373.9</v>
      </c>
      <c r="F29" s="51">
        <v>359</v>
      </c>
      <c r="G29" s="75">
        <v>20</v>
      </c>
      <c r="H29" s="52">
        <f t="shared" si="0"/>
        <v>297.99999999999955</v>
      </c>
      <c r="I29" s="53">
        <v>1.1000000000000001</v>
      </c>
      <c r="J29" s="53">
        <f t="shared" si="1"/>
        <v>327.7999999999995</v>
      </c>
      <c r="K29" s="46">
        <f t="shared" si="2"/>
        <v>327.7999999999995</v>
      </c>
      <c r="L29" s="54"/>
      <c r="M29" s="55"/>
      <c r="N29" s="71">
        <f t="shared" si="4"/>
        <v>327.7999999999995</v>
      </c>
      <c r="O29" s="71">
        <v>327.8</v>
      </c>
    </row>
    <row r="30" spans="1:18" ht="26.15" customHeight="1">
      <c r="A30" s="59">
        <v>22</v>
      </c>
      <c r="B30" s="59" t="s">
        <v>46</v>
      </c>
      <c r="C30" s="59" t="s">
        <v>16</v>
      </c>
      <c r="D30" s="60">
        <v>121780</v>
      </c>
      <c r="E30" s="61">
        <v>89.4</v>
      </c>
      <c r="F30" s="61">
        <v>82.9</v>
      </c>
      <c r="G30" s="76">
        <v>20</v>
      </c>
      <c r="H30" s="63">
        <f t="shared" si="0"/>
        <v>130</v>
      </c>
      <c r="I30" s="64">
        <v>1.1000000000000001</v>
      </c>
      <c r="J30" s="64">
        <f t="shared" si="1"/>
        <v>143</v>
      </c>
      <c r="K30" s="46">
        <f t="shared" si="2"/>
        <v>143</v>
      </c>
      <c r="L30" s="65"/>
      <c r="M30" s="66"/>
      <c r="N30" s="73">
        <f t="shared" si="4"/>
        <v>143</v>
      </c>
      <c r="O30" s="73">
        <v>143</v>
      </c>
      <c r="P30" s="74"/>
    </row>
    <row r="31" spans="1:18" s="34" customFormat="1" ht="26.15" customHeight="1">
      <c r="A31" s="49">
        <v>23</v>
      </c>
      <c r="B31" s="49" t="s">
        <v>47</v>
      </c>
      <c r="C31" s="49" t="s">
        <v>16</v>
      </c>
      <c r="D31" s="50">
        <v>135940</v>
      </c>
      <c r="E31" s="51">
        <v>61.6</v>
      </c>
      <c r="F31" s="51">
        <v>55.7</v>
      </c>
      <c r="G31" s="75">
        <v>30</v>
      </c>
      <c r="H31" s="52">
        <f t="shared" si="0"/>
        <v>176.99999999999994</v>
      </c>
      <c r="I31" s="53">
        <v>1.1000000000000001</v>
      </c>
      <c r="J31" s="53">
        <f t="shared" si="1"/>
        <v>194.69999999999996</v>
      </c>
      <c r="K31" s="46">
        <f t="shared" si="2"/>
        <v>194.69999999999996</v>
      </c>
      <c r="L31" s="54"/>
      <c r="M31" s="55"/>
      <c r="N31" s="71">
        <f t="shared" si="4"/>
        <v>194.69999999999996</v>
      </c>
      <c r="O31" s="71">
        <v>195</v>
      </c>
    </row>
    <row r="32" spans="1:18" ht="26.15" customHeight="1">
      <c r="A32" s="59">
        <v>24</v>
      </c>
      <c r="B32" s="59" t="s">
        <v>48</v>
      </c>
      <c r="C32" s="59" t="s">
        <v>16</v>
      </c>
      <c r="D32" s="85">
        <v>121780</v>
      </c>
      <c r="E32" s="63">
        <v>3973.2</v>
      </c>
      <c r="F32" s="63">
        <v>3733.7</v>
      </c>
      <c r="G32" s="63">
        <v>30</v>
      </c>
      <c r="H32" s="63">
        <f t="shared" si="0"/>
        <v>7185</v>
      </c>
      <c r="I32" s="64">
        <v>1.1000000000000001</v>
      </c>
      <c r="J32" s="64">
        <f t="shared" si="1"/>
        <v>7903.5000000000009</v>
      </c>
      <c r="K32" s="46">
        <f t="shared" si="2"/>
        <v>7903.5000000000009</v>
      </c>
      <c r="L32" s="66"/>
      <c r="M32" s="66"/>
      <c r="N32" s="67">
        <v>0</v>
      </c>
      <c r="O32" s="67"/>
    </row>
    <row r="33" spans="1:17" s="34" customFormat="1" ht="26.15" customHeight="1">
      <c r="A33" s="49">
        <v>25</v>
      </c>
      <c r="B33" s="49" t="s">
        <v>186</v>
      </c>
      <c r="C33" s="49" t="s">
        <v>16</v>
      </c>
      <c r="D33" s="86">
        <v>134768</v>
      </c>
      <c r="E33" s="52">
        <v>1003</v>
      </c>
      <c r="F33" s="52">
        <v>970.5</v>
      </c>
      <c r="G33" s="52">
        <v>80</v>
      </c>
      <c r="H33" s="52">
        <f t="shared" si="0"/>
        <v>2600</v>
      </c>
      <c r="I33" s="53">
        <v>1.1000000000000001</v>
      </c>
      <c r="J33" s="53">
        <f t="shared" si="1"/>
        <v>2860.0000000000005</v>
      </c>
      <c r="K33" s="46">
        <f t="shared" si="2"/>
        <v>2860.0000000000005</v>
      </c>
      <c r="L33" s="54"/>
      <c r="M33" s="55"/>
      <c r="N33" s="57">
        <f t="shared" si="4"/>
        <v>2860.0000000000005</v>
      </c>
      <c r="O33" s="57">
        <v>2860</v>
      </c>
    </row>
    <row r="34" spans="1:17" ht="26.15" customHeight="1">
      <c r="A34" s="59">
        <v>27</v>
      </c>
      <c r="B34" s="59" t="s">
        <v>111</v>
      </c>
      <c r="C34" s="59" t="s">
        <v>16</v>
      </c>
      <c r="D34" s="85">
        <v>135939</v>
      </c>
      <c r="E34" s="63">
        <v>216.8</v>
      </c>
      <c r="F34" s="63">
        <v>161.6</v>
      </c>
      <c r="G34" s="63">
        <v>80</v>
      </c>
      <c r="H34" s="63">
        <f t="shared" si="0"/>
        <v>4416.0000000000018</v>
      </c>
      <c r="I34" s="64">
        <v>1.1000000000000001</v>
      </c>
      <c r="J34" s="64">
        <f t="shared" si="1"/>
        <v>4857.6000000000022</v>
      </c>
      <c r="K34" s="46">
        <f t="shared" si="2"/>
        <v>4857.6000000000022</v>
      </c>
      <c r="L34" s="66"/>
      <c r="M34" s="66"/>
      <c r="N34" s="67">
        <f t="shared" si="4"/>
        <v>4857.6000000000022</v>
      </c>
      <c r="O34" s="67">
        <v>4858</v>
      </c>
    </row>
    <row r="35" spans="1:17" s="34" customFormat="1" ht="26.15" customHeight="1">
      <c r="A35" s="49">
        <v>28</v>
      </c>
      <c r="B35" s="49" t="s">
        <v>127</v>
      </c>
      <c r="C35" s="55" t="s">
        <v>16</v>
      </c>
      <c r="D35" s="55" t="s">
        <v>128</v>
      </c>
      <c r="E35" s="55">
        <v>120.1</v>
      </c>
      <c r="F35" s="55">
        <v>86.8</v>
      </c>
      <c r="G35" s="55">
        <v>80</v>
      </c>
      <c r="H35" s="55">
        <f t="shared" si="0"/>
        <v>2664</v>
      </c>
      <c r="I35" s="53">
        <v>1.1000000000000001</v>
      </c>
      <c r="J35" s="53">
        <f t="shared" si="1"/>
        <v>2930.4</v>
      </c>
      <c r="K35" s="46">
        <f t="shared" si="2"/>
        <v>2930.4</v>
      </c>
      <c r="L35" s="55"/>
      <c r="M35" s="55"/>
      <c r="N35" s="57">
        <f t="shared" si="4"/>
        <v>2930.4</v>
      </c>
      <c r="O35" s="57">
        <v>2930</v>
      </c>
      <c r="P35" s="79"/>
    </row>
    <row r="36" spans="1:17" ht="26.15" customHeight="1">
      <c r="A36" s="87" t="s">
        <v>168</v>
      </c>
      <c r="B36" s="87"/>
      <c r="C36" s="87"/>
      <c r="D36" s="87"/>
      <c r="E36" s="87"/>
      <c r="F36" s="87"/>
      <c r="G36" s="87"/>
      <c r="H36" s="87">
        <f>SUM(H3:H35)</f>
        <v>45003</v>
      </c>
      <c r="I36" s="87"/>
      <c r="J36" s="88">
        <f>SUM(J3:J35)</f>
        <v>49503.30000000001</v>
      </c>
      <c r="K36" s="88">
        <f>SUM(K3:K35)</f>
        <v>49503.30000000001</v>
      </c>
      <c r="L36" s="611"/>
      <c r="M36" s="611"/>
      <c r="N36" s="89">
        <f>SUM(N3:N35)</f>
        <v>41599.80000000001</v>
      </c>
      <c r="O36" s="89">
        <f>SUM(O3:O35)</f>
        <v>41597.300000000003</v>
      </c>
      <c r="P36" s="68"/>
      <c r="Q36" s="68"/>
    </row>
    <row r="37" spans="1:17" ht="26.15" customHeight="1">
      <c r="A37" s="612" t="s">
        <v>112</v>
      </c>
      <c r="B37" s="613"/>
      <c r="C37" s="614" t="s">
        <v>187</v>
      </c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90"/>
      <c r="O37" s="91">
        <f>-1969-80</f>
        <v>-2049</v>
      </c>
    </row>
    <row r="38" spans="1:17" ht="26.15" customHeight="1">
      <c r="A38" s="615" t="s">
        <v>117</v>
      </c>
      <c r="B38" s="616"/>
      <c r="C38" s="557" t="s">
        <v>188</v>
      </c>
      <c r="D38" s="558"/>
      <c r="E38" s="558"/>
      <c r="F38" s="558"/>
      <c r="G38" s="558"/>
      <c r="H38" s="558"/>
      <c r="I38" s="558"/>
      <c r="J38" s="558"/>
      <c r="K38" s="558"/>
      <c r="L38" s="558"/>
      <c r="M38" s="558"/>
      <c r="N38" s="92"/>
      <c r="O38" s="93">
        <v>40000</v>
      </c>
    </row>
    <row r="39" spans="1:17" ht="26.15" customHeight="1">
      <c r="A39" s="617"/>
      <c r="B39" s="618"/>
      <c r="C39" s="557" t="s">
        <v>189</v>
      </c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92"/>
      <c r="O39" s="93">
        <v>-37600</v>
      </c>
    </row>
    <row r="40" spans="1:17" ht="26.15" customHeight="1">
      <c r="A40" s="617"/>
      <c r="B40" s="618"/>
      <c r="C40" s="557" t="s">
        <v>181</v>
      </c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92"/>
      <c r="O40" s="93">
        <f>-3300*0.774-100</f>
        <v>-2654.2000000000003</v>
      </c>
    </row>
    <row r="41" spans="1:17" ht="26.15" customHeight="1">
      <c r="A41" s="617"/>
      <c r="B41" s="618"/>
      <c r="C41" s="557" t="s">
        <v>190</v>
      </c>
      <c r="D41" s="558"/>
      <c r="E41" s="558"/>
      <c r="F41" s="558"/>
      <c r="G41" s="558"/>
      <c r="H41" s="558"/>
      <c r="I41" s="558"/>
      <c r="J41" s="558"/>
      <c r="K41" s="558"/>
      <c r="L41" s="558"/>
      <c r="M41" s="558"/>
      <c r="N41" s="92"/>
      <c r="O41" s="93">
        <v>-30793.33</v>
      </c>
    </row>
    <row r="42" spans="1:17" ht="26.15" customHeight="1">
      <c r="A42" s="617"/>
      <c r="B42" s="618"/>
      <c r="C42" s="557" t="s">
        <v>191</v>
      </c>
      <c r="D42" s="558"/>
      <c r="E42" s="558"/>
      <c r="F42" s="558"/>
      <c r="G42" s="558"/>
      <c r="H42" s="558"/>
      <c r="I42" s="558"/>
      <c r="J42" s="558"/>
      <c r="K42" s="558"/>
      <c r="L42" s="558"/>
      <c r="M42" s="558"/>
      <c r="N42" s="92"/>
      <c r="O42" s="93">
        <f>-270-78</f>
        <v>-348</v>
      </c>
    </row>
    <row r="43" spans="1:17" ht="26.15" customHeight="1">
      <c r="A43" s="617"/>
      <c r="B43" s="618"/>
      <c r="C43" s="557" t="s">
        <v>192</v>
      </c>
      <c r="D43" s="558"/>
      <c r="E43" s="558"/>
      <c r="F43" s="558"/>
      <c r="G43" s="558"/>
      <c r="H43" s="558"/>
      <c r="I43" s="558"/>
      <c r="J43" s="558"/>
      <c r="K43" s="558"/>
      <c r="L43" s="558"/>
      <c r="M43" s="558"/>
      <c r="N43" s="92"/>
      <c r="O43" s="93">
        <v>-50</v>
      </c>
    </row>
    <row r="44" spans="1:17" ht="26.15" customHeight="1">
      <c r="A44" s="617"/>
      <c r="B44" s="618"/>
      <c r="C44" s="575" t="s">
        <v>193</v>
      </c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92"/>
      <c r="O44" s="93">
        <v>-1080</v>
      </c>
    </row>
    <row r="45" spans="1:17" ht="26.15" customHeight="1">
      <c r="A45" s="617"/>
      <c r="B45" s="618"/>
      <c r="C45" s="557" t="s">
        <v>230</v>
      </c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92"/>
      <c r="O45" s="93">
        <v>-1150</v>
      </c>
    </row>
    <row r="46" spans="1:17" ht="26.15" customHeight="1">
      <c r="A46" s="617"/>
      <c r="B46" s="618"/>
      <c r="C46" s="557" t="s">
        <v>230</v>
      </c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92"/>
      <c r="O46" s="93">
        <v>-520</v>
      </c>
    </row>
    <row r="47" spans="1:17" ht="26.15" customHeight="1">
      <c r="A47" s="619"/>
      <c r="B47" s="620"/>
      <c r="C47" s="592"/>
      <c r="D47" s="593"/>
      <c r="E47" s="593"/>
      <c r="F47" s="593"/>
      <c r="G47" s="593"/>
      <c r="H47" s="593"/>
      <c r="I47" s="593"/>
      <c r="J47" s="593"/>
      <c r="K47" s="593"/>
      <c r="L47" s="593"/>
      <c r="M47" s="593"/>
      <c r="N47" s="94"/>
      <c r="O47" s="95"/>
    </row>
    <row r="48" spans="1:17" s="8" customFormat="1" ht="26.15" customHeight="1">
      <c r="A48" s="604" t="s">
        <v>140</v>
      </c>
      <c r="B48" s="605"/>
      <c r="C48" s="605"/>
      <c r="D48" s="605"/>
      <c r="E48" s="605"/>
      <c r="F48" s="605"/>
      <c r="G48" s="605"/>
      <c r="H48" s="605"/>
      <c r="I48" s="605"/>
      <c r="J48" s="605"/>
      <c r="K48" s="605"/>
      <c r="L48" s="605"/>
      <c r="M48" s="605"/>
      <c r="N48" s="96"/>
      <c r="O48" s="97">
        <f>O36+SUM(O37:O47)-591</f>
        <v>4761.7700000000041</v>
      </c>
      <c r="P48" s="9"/>
    </row>
    <row r="49" spans="1:16" s="8" customFormat="1" ht="26.15" customHeight="1">
      <c r="A49" s="10"/>
      <c r="B49" s="10"/>
      <c r="C49" s="10"/>
      <c r="D49" s="35"/>
      <c r="E49" s="12"/>
      <c r="F49" s="12"/>
      <c r="G49" s="12"/>
      <c r="H49" s="12"/>
      <c r="I49" s="9"/>
      <c r="J49" s="9"/>
      <c r="K49" s="9"/>
      <c r="L49" s="9"/>
      <c r="M49" s="9"/>
      <c r="P49" s="9"/>
    </row>
    <row r="50" spans="1:16" s="8" customFormat="1" ht="26.15" customHeight="1">
      <c r="A50" s="10"/>
      <c r="B50" s="10"/>
      <c r="C50" s="10"/>
      <c r="D50" s="35"/>
      <c r="E50" s="12"/>
      <c r="F50" s="12"/>
      <c r="G50" s="12"/>
      <c r="H50" s="12"/>
      <c r="I50" s="9"/>
      <c r="J50" s="9"/>
      <c r="K50" s="9"/>
      <c r="L50" s="9"/>
      <c r="M50" s="9"/>
      <c r="P50" s="9"/>
    </row>
    <row r="51" spans="1:16" s="8" customFormat="1" ht="26.15" customHeight="1">
      <c r="A51" s="10"/>
      <c r="B51" s="10"/>
      <c r="C51" s="10"/>
      <c r="D51" s="35"/>
      <c r="E51" s="12"/>
      <c r="F51" s="12"/>
      <c r="G51" s="12"/>
      <c r="H51" s="12"/>
      <c r="I51" s="9"/>
      <c r="J51" s="9"/>
      <c r="K51" s="9"/>
      <c r="L51" s="9"/>
      <c r="M51" s="9"/>
      <c r="P51" s="9"/>
    </row>
    <row r="52" spans="1:16" s="8" customFormat="1" ht="26.15" customHeight="1">
      <c r="A52" s="10"/>
      <c r="B52" s="10"/>
      <c r="C52" s="10"/>
      <c r="D52" s="35"/>
      <c r="E52" s="12"/>
      <c r="F52" s="12"/>
      <c r="G52" s="12"/>
      <c r="H52" s="12"/>
      <c r="I52" s="9"/>
      <c r="J52" s="9"/>
      <c r="K52" s="9"/>
      <c r="L52" s="9"/>
      <c r="M52" s="9"/>
      <c r="P52" s="9"/>
    </row>
    <row r="53" spans="1:16" s="8" customFormat="1" ht="26.15" customHeight="1">
      <c r="A53" s="10"/>
      <c r="B53" s="10"/>
      <c r="C53" s="10"/>
      <c r="D53" s="35"/>
      <c r="E53" s="12"/>
      <c r="F53" s="12"/>
      <c r="G53" s="12"/>
      <c r="H53" s="12"/>
      <c r="I53" s="9"/>
      <c r="J53" s="9"/>
      <c r="K53" s="9"/>
      <c r="L53" s="9"/>
      <c r="M53" s="9"/>
      <c r="P53" s="9"/>
    </row>
    <row r="54" spans="1:16" s="8" customFormat="1" ht="26.15" customHeight="1">
      <c r="A54" s="10"/>
      <c r="B54" s="10"/>
      <c r="C54" s="10"/>
      <c r="D54" s="35"/>
      <c r="E54" s="12"/>
      <c r="F54" s="12"/>
      <c r="G54" s="12"/>
      <c r="H54" s="12"/>
      <c r="I54" s="9"/>
      <c r="J54" s="9"/>
      <c r="K54" s="9"/>
      <c r="L54" s="9"/>
      <c r="M54" s="9"/>
      <c r="P54" s="9"/>
    </row>
    <row r="55" spans="1:16" s="8" customFormat="1" ht="26.15" customHeight="1">
      <c r="A55" s="10"/>
      <c r="B55" s="10"/>
      <c r="C55" s="10"/>
      <c r="D55" s="35"/>
      <c r="E55" s="12"/>
      <c r="F55" s="12"/>
      <c r="G55" s="12"/>
      <c r="H55" s="12"/>
      <c r="I55" s="9"/>
      <c r="J55" s="9"/>
      <c r="K55" s="9"/>
      <c r="L55" s="9"/>
      <c r="M55" s="9"/>
      <c r="P55" s="9"/>
    </row>
    <row r="56" spans="1:16" s="8" customFormat="1" ht="26.15" customHeight="1">
      <c r="A56" s="10"/>
      <c r="B56" s="10"/>
      <c r="C56" s="10"/>
      <c r="D56" s="35"/>
      <c r="E56" s="12"/>
      <c r="F56" s="12"/>
      <c r="G56" s="12"/>
      <c r="H56" s="12"/>
      <c r="I56" s="9"/>
      <c r="J56" s="9"/>
      <c r="K56" s="9"/>
      <c r="L56" s="9"/>
      <c r="M56" s="9"/>
      <c r="P56" s="9"/>
    </row>
    <row r="57" spans="1:16" s="8" customFormat="1" ht="26.15" customHeight="1">
      <c r="A57" s="10"/>
      <c r="B57" s="10"/>
      <c r="C57" s="10"/>
      <c r="D57" s="35"/>
      <c r="E57" s="12"/>
      <c r="F57" s="12"/>
      <c r="G57" s="12"/>
      <c r="H57" s="12"/>
      <c r="I57" s="9"/>
      <c r="J57" s="9"/>
      <c r="K57" s="9"/>
      <c r="L57" s="9"/>
      <c r="M57" s="9"/>
      <c r="P57" s="9"/>
    </row>
    <row r="58" spans="1:16" s="8" customFormat="1" ht="26.15" customHeight="1">
      <c r="A58" s="10"/>
      <c r="B58" s="10"/>
      <c r="C58" s="10"/>
      <c r="D58" s="35"/>
      <c r="E58" s="12"/>
      <c r="F58" s="12"/>
      <c r="G58" s="12"/>
      <c r="H58" s="12"/>
      <c r="I58" s="9"/>
      <c r="J58" s="9"/>
      <c r="K58" s="9"/>
      <c r="L58" s="9"/>
      <c r="M58" s="9"/>
      <c r="P58" s="9"/>
    </row>
    <row r="59" spans="1:16" s="8" customFormat="1" ht="26.15" customHeight="1">
      <c r="A59" s="10"/>
      <c r="B59" s="10"/>
      <c r="C59" s="10"/>
      <c r="D59" s="35"/>
      <c r="E59" s="12"/>
      <c r="F59" s="12"/>
      <c r="G59" s="12"/>
      <c r="H59" s="12"/>
      <c r="I59" s="9"/>
      <c r="J59" s="9"/>
      <c r="K59" s="9"/>
      <c r="L59" s="9"/>
      <c r="M59" s="9"/>
      <c r="P59" s="9"/>
    </row>
    <row r="60" spans="1:16" s="8" customFormat="1" ht="26.15" customHeight="1">
      <c r="A60" s="10"/>
      <c r="B60" s="10"/>
      <c r="C60" s="10"/>
      <c r="D60" s="35"/>
      <c r="E60" s="12"/>
      <c r="F60" s="12"/>
      <c r="G60" s="12"/>
      <c r="H60" s="12"/>
      <c r="I60" s="9"/>
      <c r="J60" s="9"/>
      <c r="K60" s="9"/>
      <c r="L60" s="9"/>
      <c r="M60" s="9"/>
      <c r="P60" s="9"/>
    </row>
    <row r="61" spans="1:16" s="8" customFormat="1" ht="26.15" customHeight="1">
      <c r="A61" s="10"/>
      <c r="B61" s="10"/>
      <c r="C61" s="10"/>
      <c r="D61" s="35"/>
      <c r="E61" s="12"/>
      <c r="F61" s="12"/>
      <c r="G61" s="12"/>
      <c r="H61" s="12"/>
      <c r="I61" s="9"/>
      <c r="J61" s="9"/>
      <c r="K61" s="9"/>
      <c r="L61" s="9"/>
      <c r="M61" s="9"/>
      <c r="P61" s="9"/>
    </row>
    <row r="62" spans="1:16" s="8" customFormat="1" ht="26.15" customHeight="1">
      <c r="A62" s="10"/>
      <c r="B62" s="10"/>
      <c r="C62" s="10"/>
      <c r="D62" s="35"/>
      <c r="E62" s="12"/>
      <c r="F62" s="12"/>
      <c r="G62" s="12"/>
      <c r="H62" s="12"/>
      <c r="I62" s="9"/>
      <c r="J62" s="9"/>
      <c r="K62" s="9"/>
      <c r="L62" s="9"/>
      <c r="M62" s="9"/>
      <c r="P62" s="9"/>
    </row>
    <row r="63" spans="1:16" s="8" customFormat="1" ht="26.15" customHeight="1">
      <c r="A63" s="10"/>
      <c r="B63" s="10"/>
      <c r="C63" s="10"/>
      <c r="D63" s="35"/>
      <c r="E63" s="12"/>
      <c r="F63" s="12"/>
      <c r="G63" s="12"/>
      <c r="H63" s="12"/>
      <c r="I63" s="9"/>
      <c r="J63" s="9"/>
      <c r="K63" s="9"/>
      <c r="L63" s="9"/>
      <c r="M63" s="9"/>
      <c r="P63" s="9"/>
    </row>
    <row r="64" spans="1:16" s="8" customFormat="1" ht="26.15" customHeight="1">
      <c r="A64" s="10"/>
      <c r="B64" s="10"/>
      <c r="C64" s="10"/>
      <c r="D64" s="35"/>
      <c r="E64" s="12"/>
      <c r="F64" s="12"/>
      <c r="G64" s="12"/>
      <c r="H64" s="12"/>
      <c r="I64" s="9"/>
      <c r="J64" s="9"/>
      <c r="K64" s="9"/>
      <c r="L64" s="9"/>
      <c r="M64" s="9"/>
      <c r="P64" s="9"/>
    </row>
    <row r="65" spans="1:16" s="8" customFormat="1" ht="26.15" customHeight="1">
      <c r="A65" s="10"/>
      <c r="B65" s="10"/>
      <c r="C65" s="10"/>
      <c r="D65" s="35"/>
      <c r="E65" s="12"/>
      <c r="F65" s="12"/>
      <c r="G65" s="12"/>
      <c r="H65" s="12"/>
      <c r="I65" s="9"/>
      <c r="J65" s="9"/>
      <c r="K65" s="9"/>
      <c r="L65" s="9"/>
      <c r="M65" s="9"/>
      <c r="P65" s="9"/>
    </row>
    <row r="66" spans="1:16" s="8" customFormat="1" ht="26.15" customHeight="1">
      <c r="A66" s="10"/>
      <c r="B66" s="10"/>
      <c r="C66" s="10"/>
      <c r="D66" s="35"/>
      <c r="E66" s="12"/>
      <c r="F66" s="12"/>
      <c r="G66" s="12"/>
      <c r="H66" s="12"/>
      <c r="I66" s="9"/>
      <c r="J66" s="9"/>
      <c r="K66" s="9"/>
      <c r="L66" s="9"/>
      <c r="M66" s="9"/>
      <c r="P66" s="9"/>
    </row>
    <row r="67" spans="1:16" s="8" customFormat="1" ht="26.15" customHeight="1">
      <c r="A67" s="10"/>
      <c r="B67" s="10"/>
      <c r="C67" s="10"/>
      <c r="D67" s="35"/>
      <c r="E67" s="12"/>
      <c r="F67" s="12"/>
      <c r="G67" s="12"/>
      <c r="H67" s="12"/>
      <c r="I67" s="9"/>
      <c r="J67" s="9"/>
      <c r="K67" s="9"/>
      <c r="L67" s="9"/>
      <c r="M67" s="9"/>
      <c r="P67" s="9"/>
    </row>
    <row r="68" spans="1:16" s="8" customFormat="1" ht="26.15" customHeight="1">
      <c r="A68" s="10"/>
      <c r="B68" s="10"/>
      <c r="C68" s="10"/>
      <c r="D68" s="35"/>
      <c r="E68" s="12"/>
      <c r="F68" s="12"/>
      <c r="G68" s="12"/>
      <c r="H68" s="12"/>
      <c r="I68" s="9"/>
      <c r="J68" s="9"/>
      <c r="K68" s="9"/>
      <c r="L68" s="9"/>
      <c r="M68" s="9"/>
      <c r="P68" s="9"/>
    </row>
    <row r="69" spans="1:16" s="8" customFormat="1" ht="26.15" customHeight="1">
      <c r="A69" s="10"/>
      <c r="B69" s="10"/>
      <c r="C69" s="10"/>
      <c r="D69" s="35"/>
      <c r="E69" s="12"/>
      <c r="F69" s="12"/>
      <c r="G69" s="12"/>
      <c r="H69" s="12"/>
      <c r="I69" s="9"/>
      <c r="J69" s="9"/>
      <c r="K69" s="9"/>
      <c r="L69" s="9"/>
      <c r="M69" s="9"/>
      <c r="P69" s="9"/>
    </row>
    <row r="70" spans="1:16" s="8" customFormat="1" ht="26.15" customHeight="1">
      <c r="A70" s="10"/>
      <c r="B70" s="10"/>
      <c r="C70" s="10"/>
      <c r="D70" s="35"/>
      <c r="E70" s="12"/>
      <c r="F70" s="12"/>
      <c r="G70" s="12"/>
      <c r="H70" s="12"/>
      <c r="I70" s="9"/>
      <c r="J70" s="9"/>
      <c r="K70" s="9"/>
      <c r="L70" s="9"/>
      <c r="M70" s="9"/>
      <c r="P70" s="9"/>
    </row>
    <row r="71" spans="1:16" s="8" customFormat="1" ht="26.15" customHeight="1">
      <c r="A71" s="10"/>
      <c r="B71" s="10"/>
      <c r="C71" s="10"/>
      <c r="D71" s="35"/>
      <c r="E71" s="12"/>
      <c r="F71" s="12"/>
      <c r="G71" s="12"/>
      <c r="H71" s="12"/>
      <c r="I71" s="9"/>
      <c r="J71" s="9"/>
      <c r="K71" s="9"/>
      <c r="L71" s="9"/>
      <c r="M71" s="9"/>
      <c r="P71" s="9"/>
    </row>
    <row r="72" spans="1:16" s="8" customFormat="1" ht="26.15" customHeight="1">
      <c r="A72" s="10"/>
      <c r="B72" s="10"/>
      <c r="C72" s="10"/>
      <c r="D72" s="35"/>
      <c r="E72" s="12"/>
      <c r="F72" s="12"/>
      <c r="G72" s="12"/>
      <c r="H72" s="12"/>
      <c r="I72" s="9"/>
      <c r="J72" s="9"/>
      <c r="K72" s="9"/>
      <c r="L72" s="9"/>
      <c r="M72" s="9"/>
      <c r="P72" s="9"/>
    </row>
    <row r="73" spans="1:16" s="8" customFormat="1" ht="26.15" customHeight="1">
      <c r="A73" s="10"/>
      <c r="B73" s="10"/>
      <c r="C73" s="10"/>
      <c r="D73" s="35"/>
      <c r="E73" s="12"/>
      <c r="F73" s="12"/>
      <c r="G73" s="12"/>
      <c r="H73" s="12"/>
      <c r="I73" s="9"/>
      <c r="J73" s="9"/>
      <c r="K73" s="9"/>
      <c r="L73" s="9"/>
      <c r="M73" s="9"/>
      <c r="P73" s="9"/>
    </row>
    <row r="74" spans="1:16" s="8" customFormat="1" ht="26.15" customHeight="1">
      <c r="A74" s="10"/>
      <c r="B74" s="10"/>
      <c r="C74" s="10"/>
      <c r="D74" s="35"/>
      <c r="E74" s="12"/>
      <c r="F74" s="12"/>
      <c r="G74" s="12"/>
      <c r="H74" s="12"/>
      <c r="I74" s="9"/>
      <c r="J74" s="9"/>
      <c r="K74" s="9"/>
      <c r="L74" s="9"/>
      <c r="M74" s="9"/>
      <c r="P74" s="9"/>
    </row>
    <row r="75" spans="1:16" s="8" customFormat="1" ht="26.15" customHeight="1">
      <c r="A75" s="10"/>
      <c r="B75" s="10"/>
      <c r="C75" s="10"/>
      <c r="D75" s="35"/>
      <c r="E75" s="12"/>
      <c r="F75" s="12"/>
      <c r="G75" s="12"/>
      <c r="H75" s="12"/>
      <c r="I75" s="9"/>
      <c r="J75" s="9"/>
      <c r="K75" s="9"/>
      <c r="L75" s="9"/>
      <c r="M75" s="9"/>
      <c r="P75" s="9"/>
    </row>
    <row r="76" spans="1:16" s="8" customFormat="1" ht="26.15" customHeight="1">
      <c r="A76" s="10"/>
      <c r="B76" s="10"/>
      <c r="C76" s="10"/>
      <c r="D76" s="35"/>
      <c r="E76" s="12"/>
      <c r="F76" s="12"/>
      <c r="G76" s="12"/>
      <c r="H76" s="12"/>
      <c r="I76" s="9"/>
      <c r="J76" s="9"/>
      <c r="K76" s="9"/>
      <c r="L76" s="9"/>
      <c r="M76" s="9"/>
      <c r="P76" s="9"/>
    </row>
    <row r="77" spans="1:16" s="8" customFormat="1" ht="26.15" customHeight="1">
      <c r="A77" s="10"/>
      <c r="B77" s="10"/>
      <c r="C77" s="10"/>
      <c r="D77" s="35"/>
      <c r="E77" s="12"/>
      <c r="F77" s="12"/>
      <c r="G77" s="12"/>
      <c r="H77" s="12"/>
      <c r="I77" s="9"/>
      <c r="J77" s="9"/>
      <c r="K77" s="9"/>
      <c r="L77" s="9"/>
      <c r="M77" s="9"/>
      <c r="P77" s="9"/>
    </row>
    <row r="78" spans="1:16" s="8" customFormat="1" ht="26.15" customHeight="1">
      <c r="A78" s="10"/>
      <c r="B78" s="10"/>
      <c r="C78" s="10"/>
      <c r="D78" s="35"/>
      <c r="E78" s="12"/>
      <c r="F78" s="12"/>
      <c r="G78" s="12"/>
      <c r="H78" s="12"/>
      <c r="I78" s="9"/>
      <c r="J78" s="9"/>
      <c r="K78" s="9"/>
      <c r="L78" s="9"/>
      <c r="M78" s="9"/>
      <c r="P78" s="9"/>
    </row>
    <row r="79" spans="1:16" s="8" customFormat="1" ht="26.15" customHeight="1">
      <c r="A79" s="10"/>
      <c r="B79" s="10"/>
      <c r="C79" s="10"/>
      <c r="D79" s="35"/>
      <c r="E79" s="12"/>
      <c r="F79" s="12"/>
      <c r="G79" s="12"/>
      <c r="H79" s="12"/>
      <c r="I79" s="9"/>
      <c r="J79" s="9"/>
      <c r="K79" s="9"/>
      <c r="L79" s="9"/>
      <c r="M79" s="9"/>
      <c r="P79" s="9"/>
    </row>
  </sheetData>
  <mergeCells count="37">
    <mergeCell ref="A1:M1"/>
    <mergeCell ref="L36:M36"/>
    <mergeCell ref="A37:B37"/>
    <mergeCell ref="C37:M37"/>
    <mergeCell ref="C38:M38"/>
    <mergeCell ref="A38:B47"/>
    <mergeCell ref="C39:M39"/>
    <mergeCell ref="C40:M40"/>
    <mergeCell ref="C41:M41"/>
    <mergeCell ref="C42:M42"/>
    <mergeCell ref="C43:M43"/>
    <mergeCell ref="C44:M44"/>
    <mergeCell ref="C45:M45"/>
    <mergeCell ref="C46:M46"/>
    <mergeCell ref="C47:M47"/>
    <mergeCell ref="A48:M48"/>
    <mergeCell ref="A3:A4"/>
    <mergeCell ref="A6:A7"/>
    <mergeCell ref="A8:A9"/>
    <mergeCell ref="A11:A13"/>
    <mergeCell ref="A17:A18"/>
    <mergeCell ref="B3:B4"/>
    <mergeCell ref="B6:B7"/>
    <mergeCell ref="B8:B9"/>
    <mergeCell ref="B11:B13"/>
    <mergeCell ref="B17:B18"/>
    <mergeCell ref="C17:C18"/>
    <mergeCell ref="N3:N4"/>
    <mergeCell ref="N6:N7"/>
    <mergeCell ref="N8:N9"/>
    <mergeCell ref="N11:N13"/>
    <mergeCell ref="N17:N18"/>
    <mergeCell ref="O3:O4"/>
    <mergeCell ref="O6:O7"/>
    <mergeCell ref="O8:O9"/>
    <mergeCell ref="O11:O13"/>
    <mergeCell ref="O17:O18"/>
  </mergeCells>
  <phoneticPr fontId="22" type="noConversion"/>
  <conditionalFormatting sqref="J3:K3 K4:K35">
    <cfRule type="expression" dxfId="34" priority="1">
      <formula>J3=""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90"/>
  <sheetViews>
    <sheetView workbookViewId="0">
      <pane ySplit="1" topLeftCell="A32" activePane="bottomLeft" state="frozen"/>
      <selection activeCell="M1" sqref="M1"/>
      <selection pane="bottomLeft" activeCell="A37" sqref="A37:XFD37"/>
    </sheetView>
  </sheetViews>
  <sheetFormatPr defaultColWidth="8.6640625" defaultRowHeight="28" customHeight="1"/>
  <cols>
    <col min="1" max="1" width="4.75" style="10" customWidth="1"/>
    <col min="2" max="2" width="26.5" style="10" bestFit="1" customWidth="1"/>
    <col min="3" max="3" width="7.33203125" style="10" bestFit="1" customWidth="1"/>
    <col min="4" max="4" width="9.33203125" style="11" bestFit="1" customWidth="1"/>
    <col min="5" max="6" width="9.33203125" style="12" bestFit="1" customWidth="1"/>
    <col min="7" max="7" width="5.33203125" style="12" bestFit="1" customWidth="1"/>
    <col min="8" max="8" width="7.33203125" style="12" bestFit="1" customWidth="1"/>
    <col min="9" max="9" width="7.08203125" style="12" bestFit="1" customWidth="1"/>
    <col min="10" max="11" width="12.1640625" style="12" bestFit="1" customWidth="1"/>
    <col min="12" max="12" width="10" style="13" bestFit="1" customWidth="1"/>
    <col min="13" max="13" width="10" style="14" bestFit="1" customWidth="1"/>
    <col min="14" max="14" width="9.4140625" style="9" bestFit="1" customWidth="1"/>
    <col min="15" max="15" width="7.08203125" style="9" bestFit="1" customWidth="1"/>
    <col min="16" max="16" width="10" style="9" bestFit="1" customWidth="1"/>
    <col min="17" max="17" width="12.4140625" style="8" bestFit="1" customWidth="1"/>
    <col min="18" max="18" width="14.58203125" style="367" customWidth="1"/>
    <col min="19" max="19" width="11.75" style="9" bestFit="1" customWidth="1"/>
    <col min="20" max="16384" width="8.6640625" style="9"/>
  </cols>
  <sheetData>
    <row r="1" spans="1:19" ht="36" customHeight="1" thickBot="1">
      <c r="A1" s="474" t="s">
        <v>194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356"/>
    </row>
    <row r="2" spans="1:19" ht="32.15" customHeight="1" thickBot="1">
      <c r="A2" s="489" t="s">
        <v>1</v>
      </c>
      <c r="B2" s="491" t="s">
        <v>210</v>
      </c>
      <c r="C2" s="491" t="s">
        <v>211</v>
      </c>
      <c r="D2" s="493" t="s">
        <v>201</v>
      </c>
      <c r="E2" s="494"/>
      <c r="F2" s="494"/>
      <c r="G2" s="494"/>
      <c r="H2" s="494"/>
      <c r="I2" s="494"/>
      <c r="J2" s="494"/>
      <c r="K2" s="495"/>
      <c r="L2" s="496" t="s">
        <v>202</v>
      </c>
      <c r="M2" s="497"/>
      <c r="N2" s="497"/>
      <c r="O2" s="497"/>
      <c r="P2" s="498"/>
      <c r="Q2" s="503" t="s">
        <v>13</v>
      </c>
      <c r="R2" s="505" t="s">
        <v>14</v>
      </c>
      <c r="S2" s="501" t="s">
        <v>221</v>
      </c>
    </row>
    <row r="3" spans="1:19" s="1" customFormat="1" ht="30" customHeight="1" thickBot="1">
      <c r="A3" s="490"/>
      <c r="B3" s="492"/>
      <c r="C3" s="492"/>
      <c r="D3" s="16" t="s">
        <v>4</v>
      </c>
      <c r="E3" s="354" t="s">
        <v>205</v>
      </c>
      <c r="F3" s="354" t="s">
        <v>206</v>
      </c>
      <c r="G3" s="15" t="s">
        <v>7</v>
      </c>
      <c r="H3" s="15" t="s">
        <v>8</v>
      </c>
      <c r="I3" s="15" t="s">
        <v>9</v>
      </c>
      <c r="J3" s="354" t="s">
        <v>207</v>
      </c>
      <c r="K3" s="354" t="s">
        <v>208</v>
      </c>
      <c r="L3" s="355" t="s">
        <v>203</v>
      </c>
      <c r="M3" s="355" t="s">
        <v>204</v>
      </c>
      <c r="N3" s="15" t="s">
        <v>195</v>
      </c>
      <c r="O3" s="354" t="s">
        <v>209</v>
      </c>
      <c r="P3" s="354" t="s">
        <v>208</v>
      </c>
      <c r="Q3" s="504"/>
      <c r="R3" s="506"/>
      <c r="S3" s="501"/>
    </row>
    <row r="4" spans="1:19" s="2" customFormat="1" ht="30" customHeight="1" thickBot="1">
      <c r="A4" s="466">
        <v>1</v>
      </c>
      <c r="B4" s="484" t="s">
        <v>15</v>
      </c>
      <c r="C4" s="259" t="s">
        <v>16</v>
      </c>
      <c r="D4" s="260" t="s">
        <v>235</v>
      </c>
      <c r="E4" s="261">
        <v>1606.4</v>
      </c>
      <c r="F4" s="261">
        <v>1507.4</v>
      </c>
      <c r="G4" s="261">
        <v>60</v>
      </c>
      <c r="H4" s="261">
        <f t="shared" ref="H4:H32" si="0">(E4-F4)*G4</f>
        <v>5940</v>
      </c>
      <c r="I4" s="262">
        <v>1.1000000000000001</v>
      </c>
      <c r="J4" s="262">
        <f t="shared" ref="J4:J32" si="1">H4*I4</f>
        <v>6534.0000000000009</v>
      </c>
      <c r="K4" s="457">
        <f>J4+J5</f>
        <v>8165.3000000000011</v>
      </c>
      <c r="L4" s="263">
        <v>146</v>
      </c>
      <c r="M4" s="264">
        <v>146</v>
      </c>
      <c r="N4" s="265">
        <f t="shared" ref="N4:N38" si="2">M4-L4</f>
        <v>0</v>
      </c>
      <c r="O4" s="266">
        <v>4.4000000000000004</v>
      </c>
      <c r="P4" s="266">
        <f t="shared" ref="P4:P38" si="3">O4*N4</f>
        <v>0</v>
      </c>
      <c r="Q4" s="457">
        <f>K4+P4+P5</f>
        <v>8794.5000000000018</v>
      </c>
      <c r="R4" s="514">
        <v>0</v>
      </c>
      <c r="S4" s="502">
        <f>Q4-R4</f>
        <v>8794.5000000000018</v>
      </c>
    </row>
    <row r="5" spans="1:19" s="3" customFormat="1" ht="30" customHeight="1">
      <c r="A5" s="456"/>
      <c r="B5" s="483"/>
      <c r="C5" s="267" t="s">
        <v>17</v>
      </c>
      <c r="D5" s="268">
        <v>222933</v>
      </c>
      <c r="E5" s="269">
        <v>14816</v>
      </c>
      <c r="F5" s="269">
        <v>13333</v>
      </c>
      <c r="G5" s="269">
        <v>1</v>
      </c>
      <c r="H5" s="269">
        <f t="shared" si="0"/>
        <v>1483</v>
      </c>
      <c r="I5" s="270">
        <v>1.1000000000000001</v>
      </c>
      <c r="J5" s="270">
        <f t="shared" si="1"/>
        <v>1631.3000000000002</v>
      </c>
      <c r="K5" s="458"/>
      <c r="L5" s="271">
        <v>182</v>
      </c>
      <c r="M5" s="272">
        <v>325</v>
      </c>
      <c r="N5" s="273">
        <f t="shared" si="2"/>
        <v>143</v>
      </c>
      <c r="O5" s="274">
        <v>4.4000000000000004</v>
      </c>
      <c r="P5" s="274">
        <f t="shared" si="3"/>
        <v>629.20000000000005</v>
      </c>
      <c r="Q5" s="458"/>
      <c r="R5" s="515"/>
      <c r="S5" s="500"/>
    </row>
    <row r="6" spans="1:19" s="4" customFormat="1" ht="30" customHeight="1">
      <c r="A6" s="275">
        <v>2</v>
      </c>
      <c r="B6" s="276" t="s">
        <v>18</v>
      </c>
      <c r="C6" s="276" t="s">
        <v>16</v>
      </c>
      <c r="D6" s="277">
        <v>135406</v>
      </c>
      <c r="E6" s="278">
        <v>684.5</v>
      </c>
      <c r="F6" s="278">
        <v>620.20000000000005</v>
      </c>
      <c r="G6" s="278">
        <v>40</v>
      </c>
      <c r="H6" s="278">
        <f t="shared" si="0"/>
        <v>2571.9999999999982</v>
      </c>
      <c r="I6" s="279">
        <v>1.1000000000000001</v>
      </c>
      <c r="J6" s="279">
        <f t="shared" si="1"/>
        <v>2829.1999999999985</v>
      </c>
      <c r="K6" s="279">
        <f>J6</f>
        <v>2829.1999999999985</v>
      </c>
      <c r="L6" s="280">
        <v>164</v>
      </c>
      <c r="M6" s="281">
        <v>239</v>
      </c>
      <c r="N6" s="282">
        <f t="shared" si="2"/>
        <v>75</v>
      </c>
      <c r="O6" s="283">
        <v>4.4000000000000004</v>
      </c>
      <c r="P6" s="283">
        <f t="shared" si="3"/>
        <v>330</v>
      </c>
      <c r="Q6" s="279">
        <f>K6+P6</f>
        <v>3159.1999999999985</v>
      </c>
      <c r="R6" s="357">
        <v>0</v>
      </c>
      <c r="S6" s="372">
        <f>Q6-R6</f>
        <v>3159.1999999999985</v>
      </c>
    </row>
    <row r="7" spans="1:19" s="2" customFormat="1" ht="30" customHeight="1" thickBot="1">
      <c r="A7" s="455">
        <v>3</v>
      </c>
      <c r="B7" s="482" t="s">
        <v>20</v>
      </c>
      <c r="C7" s="284" t="s">
        <v>16</v>
      </c>
      <c r="D7" s="285">
        <v>135400</v>
      </c>
      <c r="E7" s="286">
        <v>16.2</v>
      </c>
      <c r="F7" s="286">
        <v>15.5</v>
      </c>
      <c r="G7" s="286">
        <v>40</v>
      </c>
      <c r="H7" s="286">
        <f t="shared" si="0"/>
        <v>27.999999999999972</v>
      </c>
      <c r="I7" s="287">
        <v>1.1000000000000001</v>
      </c>
      <c r="J7" s="287">
        <f t="shared" si="1"/>
        <v>30.799999999999972</v>
      </c>
      <c r="K7" s="459">
        <f>J7+J8</f>
        <v>83.59999999999998</v>
      </c>
      <c r="L7" s="288">
        <v>55</v>
      </c>
      <c r="M7" s="289">
        <v>79</v>
      </c>
      <c r="N7" s="290">
        <f t="shared" si="2"/>
        <v>24</v>
      </c>
      <c r="O7" s="291">
        <v>4.4000000000000004</v>
      </c>
      <c r="P7" s="291">
        <f t="shared" si="3"/>
        <v>105.60000000000001</v>
      </c>
      <c r="Q7" s="459">
        <f>K7+P7+P8</f>
        <v>299.2</v>
      </c>
      <c r="R7" s="516">
        <v>83.6</v>
      </c>
      <c r="S7" s="519">
        <f>Q7-R7</f>
        <v>215.6</v>
      </c>
    </row>
    <row r="8" spans="1:19" s="3" customFormat="1" ht="30" customHeight="1">
      <c r="A8" s="456"/>
      <c r="B8" s="483"/>
      <c r="C8" s="267" t="s">
        <v>17</v>
      </c>
      <c r="D8" s="268" t="s">
        <v>85</v>
      </c>
      <c r="E8" s="269">
        <v>953</v>
      </c>
      <c r="F8" s="269">
        <v>905</v>
      </c>
      <c r="G8" s="269">
        <v>1</v>
      </c>
      <c r="H8" s="269">
        <f t="shared" si="0"/>
        <v>48</v>
      </c>
      <c r="I8" s="270">
        <v>1.1000000000000001</v>
      </c>
      <c r="J8" s="270">
        <f t="shared" si="1"/>
        <v>52.800000000000004</v>
      </c>
      <c r="K8" s="458"/>
      <c r="L8" s="271">
        <v>13</v>
      </c>
      <c r="M8" s="272">
        <v>38</v>
      </c>
      <c r="N8" s="273">
        <f t="shared" si="2"/>
        <v>25</v>
      </c>
      <c r="O8" s="274">
        <v>4.4000000000000004</v>
      </c>
      <c r="P8" s="274">
        <f t="shared" si="3"/>
        <v>110.00000000000001</v>
      </c>
      <c r="Q8" s="458"/>
      <c r="R8" s="515"/>
      <c r="S8" s="500"/>
    </row>
 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"293">
        <v>135405</v>
      </c>
      <c r="E9" s="294">
        <v>544.4</v>
      </c>
      <c r="F9" s="294">
        <v>514</v>
      </c>
      <c r="G9" s="294">
        <v>40</v>
      </c>
      <c r="H9" s="294">
        <f t="shared" si="0"/>
        <v>1215.9999999999991</v>
      </c>
      <c r="I9" s="295">
        <v>1.1000000000000001</v>
      </c>
      <c r="J9" s="295">
        <f t="shared" si="1"/>
        <v>1337.599999999999</v>
      </c>
      <c r="K9" s="460">
        <f>J9+J10</f>
        <v>1418.9999999999991</v>
      </c>
      <c r="L9" s="296">
        <v>155</v>
      </c>
      <c r="M9" s="297">
        <v>262</v>
      </c>
      <c r="N9" s="298">
        <f t="shared" si="2"/>
        <v>107</v>
      </c>
      <c r="O9" s="299">
        <v>4.4000000000000004</v>
      </c>
      <c r="P9" s="299">
        <f t="shared" si="3"/>
        <v>470.8</v>
      </c>
      <c r="Q9" s="460">
        <f>K9+P9+P10</f>
        <v>1889.799999999999</v>
      </c>
      <c r="R9" s="512">
        <v>0</v>
      </c>
      <c r="S9" s="485">
        <f>Q9-R9</f>
        <v>1889.799999999999</v>
      </c>
    </row>
    <row r="10" spans="1:19" s="4" customFormat="1" ht="30" customHeight="1">
      <c r="A10" s="468"/>
      <c r="B10" s="464"/>
      <c r="C10" s="300" t="s">
        <v>17</v>
      </c>
      <c r="D10" s="301" t="s">
        <v>85</v>
      </c>
      <c r="E10" s="302">
        <v>242</v>
      </c>
      <c r="F10" s="302">
        <v>168</v>
      </c>
      <c r="G10" s="302">
        <v>1</v>
      </c>
      <c r="H10" s="302">
        <f t="shared" si="0"/>
        <v>74</v>
      </c>
      <c r="I10" s="303">
        <v>1.1000000000000001</v>
      </c>
      <c r="J10" s="303">
        <f t="shared" si="1"/>
        <v>81.400000000000006</v>
      </c>
      <c r="K10" s="461"/>
      <c r="L10" s="304"/>
      <c r="M10" s="305"/>
      <c r="N10" s="306">
        <f t="shared" si="2"/>
        <v>0</v>
      </c>
      <c r="O10" s="307">
        <v>4.4000000000000004</v>
      </c>
      <c r="P10" s="307">
        <f t="shared" si="3"/>
        <v>0</v>
      </c>
      <c r="Q10" s="461"/>
      <c r="R10" s="513"/>
      <c r="S10" s="487"/>
    </row>
    <row r="11" spans="1:19" s="3" customFormat="1" ht="30" customHeight="1">
      <c r="A11" s="308">
        <v>5</v>
      </c>
      <c r="B11" s="309" t="s">
        <v>23</v>
      </c>
      <c r="C11" s="309" t="s">
        <v>16</v>
      </c>
      <c r="D11" s="310">
        <v>135401</v>
      </c>
      <c r="E11" s="311">
        <v>105.9</v>
      </c>
      <c r="F11" s="311">
        <v>99.5</v>
      </c>
      <c r="G11" s="311">
        <v>20</v>
      </c>
      <c r="H11" s="311">
        <f t="shared" si="0"/>
        <v>128.00000000000011</v>
      </c>
      <c r="I11" s="312">
        <v>1.1000000000000001</v>
      </c>
      <c r="J11" s="312">
        <f t="shared" si="1"/>
        <v>140.80000000000013</v>
      </c>
      <c r="K11" s="312">
        <f>J11</f>
        <v>140.80000000000013</v>
      </c>
      <c r="L11" s="313">
        <v>8</v>
      </c>
      <c r="M11" s="314">
        <v>11</v>
      </c>
      <c r="N11" s="315">
        <f t="shared" si="2"/>
        <v>3</v>
      </c>
      <c r="O11" s="316">
        <v>4.4000000000000004</v>
      </c>
      <c r="P11" s="316">
        <f t="shared" si="3"/>
        <v>13.200000000000001</v>
      </c>
      <c r="Q11" s="312">
        <f>K11+P11</f>
        <v>154.00000000000011</v>
      </c>
      <c r="R11" s="312">
        <v>154</v>
      </c>
      <c r="S11" s="373">
        <f>Q11-R11</f>
        <v>0</v>
      </c>
    </row>
    <row r="12" spans="1:19" s="5" customFormat="1" ht="30" customHeight="1" thickBot="1">
      <c r="A12" s="467">
        <v>6</v>
      </c>
      <c r="B12" s="463" t="s">
        <v>24</v>
      </c>
      <c r="C12" s="292" t="s">
        <v>25</v>
      </c>
      <c r="D12" s="293">
        <v>135402</v>
      </c>
      <c r="E12" s="294">
        <v>919.8</v>
      </c>
      <c r="F12" s="294">
        <v>826.1</v>
      </c>
      <c r="G12" s="294">
        <v>20</v>
      </c>
      <c r="H12" s="294">
        <f t="shared" si="0"/>
        <v>1873.9999999999986</v>
      </c>
      <c r="I12" s="295">
        <v>1.1000000000000001</v>
      </c>
      <c r="J12" s="295">
        <f t="shared" si="1"/>
        <v>2061.3999999999987</v>
      </c>
      <c r="K12" s="460">
        <f>J12+J13+J14</f>
        <v>3086.5999999999995</v>
      </c>
      <c r="L12" s="296">
        <v>166</v>
      </c>
      <c r="M12" s="297">
        <v>283</v>
      </c>
      <c r="N12" s="298">
        <f t="shared" si="2"/>
        <v>117</v>
      </c>
      <c r="O12" s="299">
        <v>4.4000000000000004</v>
      </c>
      <c r="P12" s="299">
        <f t="shared" si="3"/>
        <v>514.80000000000007</v>
      </c>
      <c r="Q12" s="460">
        <f>K12+P12+P13+P14</f>
        <v>3601.3999999999996</v>
      </c>
      <c r="R12" s="511">
        <v>3601</v>
      </c>
      <c r="S12" s="485">
        <f>Q12-R12</f>
        <v>0.3999999999996362</v>
      </c>
    </row>
    <row r="13" spans="1:19" s="5" customFormat="1" ht="30" customHeight="1" thickBot="1">
      <c r="A13" s="469"/>
      <c r="B13" s="465"/>
      <c r="C13" s="317" t="s">
        <v>26</v>
      </c>
      <c r="D13" s="318">
        <v>135408</v>
      </c>
      <c r="E13" s="319">
        <v>323.10000000000002</v>
      </c>
      <c r="F13" s="319">
        <v>319.8</v>
      </c>
      <c r="G13" s="319">
        <v>40</v>
      </c>
      <c r="H13" s="319">
        <f t="shared" si="0"/>
        <v>132.00000000000045</v>
      </c>
      <c r="I13" s="320">
        <v>1.1000000000000001</v>
      </c>
      <c r="J13" s="320">
        <f t="shared" si="1"/>
        <v>145.2000000000005</v>
      </c>
      <c r="K13" s="462"/>
      <c r="L13" s="321"/>
      <c r="M13" s="322"/>
      <c r="N13" s="323">
        <f t="shared" si="2"/>
        <v>0</v>
      </c>
      <c r="O13" s="324">
        <v>4.4000000000000004</v>
      </c>
      <c r="P13" s="324">
        <f t="shared" si="3"/>
        <v>0</v>
      </c>
      <c r="Q13" s="462"/>
      <c r="R13" s="512"/>
      <c r="S13" s="486"/>
    </row>
    <row r="14" spans="1:19" s="4" customFormat="1" ht="30" customHeight="1">
      <c r="A14" s="468"/>
      <c r="B14" s="464"/>
      <c r="C14" s="300" t="s">
        <v>166</v>
      </c>
      <c r="D14" s="301" t="s">
        <v>167</v>
      </c>
      <c r="E14" s="302">
        <v>34.6</v>
      </c>
      <c r="F14" s="302">
        <v>14.6</v>
      </c>
      <c r="G14" s="302">
        <v>40</v>
      </c>
      <c r="H14" s="302">
        <f t="shared" si="0"/>
        <v>800</v>
      </c>
      <c r="I14" s="303">
        <v>1.1000000000000001</v>
      </c>
      <c r="J14" s="303">
        <f t="shared" si="1"/>
        <v>880.00000000000011</v>
      </c>
      <c r="K14" s="461"/>
      <c r="L14" s="304"/>
      <c r="M14" s="305"/>
      <c r="N14" s="306">
        <f t="shared" si="2"/>
        <v>0</v>
      </c>
      <c r="O14" s="307">
        <v>4.4000000000000004</v>
      </c>
      <c r="P14" s="307">
        <f t="shared" si="3"/>
        <v>0</v>
      </c>
      <c r="Q14" s="461"/>
      <c r="R14" s="513"/>
      <c r="S14" s="487"/>
    </row>
    <row r="15" spans="1:19" s="3" customFormat="1" ht="30" customHeight="1">
      <c r="A15" s="308">
        <v>7</v>
      </c>
      <c r="B15" s="309" t="s">
        <v>27</v>
      </c>
      <c r="C15" s="309" t="s">
        <v>16</v>
      </c>
      <c r="D15" s="310">
        <v>136866</v>
      </c>
      <c r="E15" s="311">
        <v>284.10000000000002</v>
      </c>
      <c r="F15" s="311">
        <v>276.39999999999998</v>
      </c>
      <c r="G15" s="311">
        <v>20</v>
      </c>
      <c r="H15" s="311">
        <f t="shared" si="0"/>
        <v>154.00000000000091</v>
      </c>
      <c r="I15" s="312">
        <v>1.1000000000000001</v>
      </c>
      <c r="J15" s="312">
        <f t="shared" si="1"/>
        <v>169.400000000001</v>
      </c>
      <c r="K15" s="312">
        <f>J15</f>
        <v>169.400000000001</v>
      </c>
      <c r="L15" s="313">
        <v>20</v>
      </c>
      <c r="M15" s="314">
        <v>32</v>
      </c>
      <c r="N15" s="315">
        <f t="shared" si="2"/>
        <v>12</v>
      </c>
      <c r="O15" s="316">
        <v>4.4000000000000004</v>
      </c>
      <c r="P15" s="316">
        <f t="shared" si="3"/>
        <v>52.800000000000004</v>
      </c>
      <c r="Q15" s="312">
        <f>K15+P15</f>
        <v>222.20000000000101</v>
      </c>
      <c r="R15" s="358">
        <v>222.2</v>
      </c>
      <c r="S15" s="374">
        <f>Q15-R15</f>
        <v>1.0231815394945443E-12</v>
      </c>
    </row>
    <row r="16" spans="1:19" s="4" customFormat="1" ht="30" customHeight="1">
      <c r="A16" s="275">
        <v>8</v>
      </c>
      <c r="B16" s="276" t="s">
        <v>28</v>
      </c>
      <c r="C16" s="276" t="s">
        <v>16</v>
      </c>
      <c r="D16" s="277">
        <v>135847</v>
      </c>
      <c r="E16" s="278">
        <v>273.89999999999998</v>
      </c>
      <c r="F16" s="278">
        <v>260.39999999999998</v>
      </c>
      <c r="G16" s="278">
        <v>40</v>
      </c>
      <c r="H16" s="278">
        <f t="shared" si="0"/>
        <v>540</v>
      </c>
      <c r="I16" s="279">
        <v>1.1000000000000001</v>
      </c>
      <c r="J16" s="279">
        <f t="shared" si="1"/>
        <v>594</v>
      </c>
      <c r="K16" s="279">
        <f>J16</f>
        <v>594</v>
      </c>
      <c r="L16" s="280">
        <v>61</v>
      </c>
      <c r="M16" s="281">
        <v>91</v>
      </c>
      <c r="N16" s="282">
        <f t="shared" si="2"/>
        <v>30</v>
      </c>
      <c r="O16" s="283">
        <v>4.4000000000000004</v>
      </c>
      <c r="P16" s="283">
        <f t="shared" si="3"/>
        <v>132</v>
      </c>
      <c r="Q16" s="279">
        <f>K16+P16</f>
        <v>726</v>
      </c>
      <c r="R16" s="357">
        <v>726</v>
      </c>
      <c r="S16" s="374">
        <f t="shared" ref="S16:S17" si="4">Q16-R16</f>
        <v>0</v>
      </c>
    </row>
    <row r="17" spans="1:19" s="3" customFormat="1" ht="30" customHeight="1">
      <c r="A17" s="308">
        <v>9</v>
      </c>
      <c r="B17" s="309" t="s">
        <v>29</v>
      </c>
      <c r="C17" s="309" t="s">
        <v>16</v>
      </c>
      <c r="D17" s="310">
        <v>135848</v>
      </c>
      <c r="E17" s="311">
        <v>993.6</v>
      </c>
      <c r="F17" s="311">
        <v>913.3</v>
      </c>
      <c r="G17" s="311">
        <v>40</v>
      </c>
      <c r="H17" s="311">
        <f t="shared" si="0"/>
        <v>3212.0000000000027</v>
      </c>
      <c r="I17" s="312">
        <v>1.1000000000000001</v>
      </c>
      <c r="J17" s="312">
        <f t="shared" si="1"/>
        <v>3533.2000000000035</v>
      </c>
      <c r="K17" s="312">
        <f>J17</f>
        <v>3533.2000000000035</v>
      </c>
      <c r="L17" s="313">
        <v>18</v>
      </c>
      <c r="M17" s="314">
        <v>27</v>
      </c>
      <c r="N17" s="315">
        <f t="shared" si="2"/>
        <v>9</v>
      </c>
      <c r="O17" s="316">
        <v>4.4000000000000004</v>
      </c>
      <c r="P17" s="316">
        <f t="shared" si="3"/>
        <v>39.6</v>
      </c>
      <c r="Q17" s="325">
        <f>K17+P17</f>
        <v>3572.8000000000034</v>
      </c>
      <c r="R17" s="359">
        <v>0</v>
      </c>
      <c r="S17" s="374">
        <f t="shared" si="4"/>
        <v>3572.8000000000034</v>
      </c>
    </row>
    <row r="18" spans="1:19" s="5" customFormat="1" ht="30" customHeight="1" thickBot="1">
      <c r="A18" s="467">
        <v>10</v>
      </c>
      <c r="B18" s="463" t="s">
        <v>31</v>
      </c>
      <c r="C18" s="292" t="s">
        <v>16</v>
      </c>
      <c r="D18" s="293">
        <v>135846</v>
      </c>
      <c r="E18" s="294">
        <v>876.3</v>
      </c>
      <c r="F18" s="294">
        <v>824.8</v>
      </c>
      <c r="G18" s="294">
        <v>40</v>
      </c>
      <c r="H18" s="294">
        <f t="shared" si="0"/>
        <v>2060</v>
      </c>
      <c r="I18" s="295">
        <v>1.1000000000000001</v>
      </c>
      <c r="J18" s="295">
        <f t="shared" si="1"/>
        <v>2266</v>
      </c>
      <c r="K18" s="460">
        <f>J18+J19</f>
        <v>3137.2000000000007</v>
      </c>
      <c r="L18" s="296">
        <v>5</v>
      </c>
      <c r="M18" s="297">
        <v>10</v>
      </c>
      <c r="N18" s="298">
        <f t="shared" si="2"/>
        <v>5</v>
      </c>
      <c r="O18" s="299">
        <v>4.4000000000000004</v>
      </c>
      <c r="P18" s="299">
        <f t="shared" si="3"/>
        <v>22</v>
      </c>
      <c r="Q18" s="479">
        <f>K18+P18+P19</f>
        <v>3159.2000000000007</v>
      </c>
      <c r="R18" s="509">
        <v>3159</v>
      </c>
      <c r="S18" s="488">
        <f>Q18-R18</f>
        <v>0.2000000000007276</v>
      </c>
    </row>
    <row r="19" spans="1:19" s="4" customFormat="1" ht="30" customHeight="1">
      <c r="A19" s="468"/>
      <c r="B19" s="464"/>
      <c r="C19" s="300"/>
      <c r="D19" s="301">
        <v>135379</v>
      </c>
      <c r="E19" s="302">
        <v>66.400000000000006</v>
      </c>
      <c r="F19" s="302">
        <v>56.5</v>
      </c>
      <c r="G19" s="302">
        <v>80</v>
      </c>
      <c r="H19" s="302">
        <f t="shared" si="0"/>
        <v>792.00000000000045</v>
      </c>
      <c r="I19" s="303">
        <v>1.1000000000000001</v>
      </c>
      <c r="J19" s="303">
        <f t="shared" si="1"/>
        <v>871.20000000000061</v>
      </c>
      <c r="K19" s="461"/>
      <c r="L19" s="304"/>
      <c r="M19" s="305"/>
      <c r="N19" s="306">
        <f t="shared" si="2"/>
        <v>0</v>
      </c>
      <c r="O19" s="307">
        <v>4.4000000000000004</v>
      </c>
      <c r="P19" s="307">
        <f t="shared" si="3"/>
        <v>0</v>
      </c>
      <c r="Q19" s="480"/>
      <c r="R19" s="510"/>
      <c r="S19" s="487"/>
    </row>
    <row r="20" spans="1:19" s="258" customFormat="1" ht="30" customHeight="1">
      <c r="A20" s="326">
        <v>11</v>
      </c>
      <c r="B20" s="327" t="s">
        <v>32</v>
      </c>
      <c r="C20" s="327" t="s">
        <v>16</v>
      </c>
      <c r="D20" s="328">
        <v>135845</v>
      </c>
      <c r="E20" s="329">
        <v>599.4</v>
      </c>
      <c r="F20" s="329">
        <v>554.6</v>
      </c>
      <c r="G20" s="329">
        <v>40</v>
      </c>
      <c r="H20" s="329">
        <f t="shared" si="0"/>
        <v>1791.9999999999982</v>
      </c>
      <c r="I20" s="330">
        <v>1.1000000000000001</v>
      </c>
      <c r="J20" s="330">
        <f t="shared" si="1"/>
        <v>1971.1999999999982</v>
      </c>
      <c r="K20" s="330">
        <f t="shared" ref="K20:K32" si="5">J20</f>
        <v>1971.1999999999982</v>
      </c>
      <c r="L20" s="331">
        <v>155</v>
      </c>
      <c r="M20" s="332">
        <v>240</v>
      </c>
      <c r="N20" s="333">
        <f t="shared" si="2"/>
        <v>85</v>
      </c>
      <c r="O20" s="334">
        <v>4.4000000000000004</v>
      </c>
      <c r="P20" s="334">
        <f t="shared" si="3"/>
        <v>374.00000000000006</v>
      </c>
      <c r="Q20" s="335">
        <f t="shared" ref="Q20:Q32" si="6">K20+P20</f>
        <v>2345.1999999999985</v>
      </c>
      <c r="R20" s="360">
        <v>2345</v>
      </c>
      <c r="S20" s="375">
        <f>Q20-R20</f>
        <v>0.19999999999845386</v>
      </c>
    </row>
    <row r="21" spans="1:19" s="257" customFormat="1" ht="30" customHeight="1">
      <c r="A21" s="336">
        <v>12</v>
      </c>
      <c r="B21" s="337" t="s">
        <v>33</v>
      </c>
      <c r="C21" s="337" t="s">
        <v>16</v>
      </c>
      <c r="D21" s="338">
        <v>135844</v>
      </c>
      <c r="E21" s="339">
        <v>92.1</v>
      </c>
      <c r="F21" s="339">
        <v>83.5</v>
      </c>
      <c r="G21" s="339">
        <v>30</v>
      </c>
      <c r="H21" s="339">
        <f t="shared" si="0"/>
        <v>257.99999999999983</v>
      </c>
      <c r="I21" s="340">
        <v>1.1000000000000001</v>
      </c>
      <c r="J21" s="340">
        <f t="shared" si="1"/>
        <v>283.79999999999984</v>
      </c>
      <c r="K21" s="340">
        <f t="shared" si="5"/>
        <v>283.79999999999984</v>
      </c>
      <c r="L21" s="341">
        <v>17</v>
      </c>
      <c r="M21" s="342">
        <v>33</v>
      </c>
      <c r="N21" s="343">
        <f t="shared" si="2"/>
        <v>16</v>
      </c>
      <c r="O21" s="344">
        <v>4.4000000000000004</v>
      </c>
      <c r="P21" s="344">
        <f t="shared" si="3"/>
        <v>70.400000000000006</v>
      </c>
      <c r="Q21" s="345">
        <f t="shared" si="6"/>
        <v>354.19999999999982</v>
      </c>
      <c r="R21" s="361">
        <v>0</v>
      </c>
      <c r="S21" s="375">
        <f t="shared" ref="S21:S32" si="7">Q21-R21</f>
        <v>354.19999999999982</v>
      </c>
    </row>
    <row r="22" spans="1:19" s="258" customFormat="1" ht="30" customHeight="1">
      <c r="A22" s="326">
        <v>13</v>
      </c>
      <c r="B22" s="327" t="s">
        <v>34</v>
      </c>
      <c r="C22" s="327" t="s">
        <v>16</v>
      </c>
      <c r="D22" s="328">
        <v>135844</v>
      </c>
      <c r="E22" s="329">
        <v>124</v>
      </c>
      <c r="F22" s="329">
        <v>107.8</v>
      </c>
      <c r="G22" s="329">
        <v>30</v>
      </c>
      <c r="H22" s="329">
        <f t="shared" si="0"/>
        <v>486.00000000000011</v>
      </c>
      <c r="I22" s="330">
        <v>1.1000000000000001</v>
      </c>
      <c r="J22" s="330">
        <f t="shared" si="1"/>
        <v>534.60000000000014</v>
      </c>
      <c r="K22" s="330">
        <f t="shared" si="5"/>
        <v>534.60000000000014</v>
      </c>
      <c r="L22" s="331">
        <v>19</v>
      </c>
      <c r="M22" s="332">
        <v>61</v>
      </c>
      <c r="N22" s="333">
        <f t="shared" si="2"/>
        <v>42</v>
      </c>
      <c r="O22" s="334">
        <v>4.4000000000000004</v>
      </c>
      <c r="P22" s="334">
        <f t="shared" si="3"/>
        <v>184.8</v>
      </c>
      <c r="Q22" s="335">
        <f t="shared" si="6"/>
        <v>719.40000000000009</v>
      </c>
      <c r="R22" s="360">
        <v>719.4</v>
      </c>
      <c r="S22" s="375">
        <f t="shared" si="7"/>
        <v>0</v>
      </c>
    </row>
    <row r="23" spans="1:19" s="257" customFormat="1" ht="30" customHeight="1">
      <c r="A23" s="336">
        <v>14</v>
      </c>
      <c r="B23" s="337" t="s">
        <v>35</v>
      </c>
      <c r="C23" s="337" t="s">
        <v>16</v>
      </c>
      <c r="D23" s="338">
        <v>135850</v>
      </c>
      <c r="E23" s="339">
        <v>244.2</v>
      </c>
      <c r="F23" s="339">
        <v>237.7</v>
      </c>
      <c r="G23" s="339">
        <v>30</v>
      </c>
      <c r="H23" s="339">
        <f t="shared" si="0"/>
        <v>195</v>
      </c>
      <c r="I23" s="340">
        <v>1.1000000000000001</v>
      </c>
      <c r="J23" s="340">
        <f t="shared" si="1"/>
        <v>214.50000000000003</v>
      </c>
      <c r="K23" s="340">
        <f t="shared" si="5"/>
        <v>214.50000000000003</v>
      </c>
      <c r="L23" s="341">
        <v>37</v>
      </c>
      <c r="M23" s="342">
        <v>46</v>
      </c>
      <c r="N23" s="343">
        <f t="shared" si="2"/>
        <v>9</v>
      </c>
      <c r="O23" s="344">
        <v>4.4000000000000004</v>
      </c>
      <c r="P23" s="344">
        <f t="shared" si="3"/>
        <v>39.6</v>
      </c>
      <c r="Q23" s="345">
        <f t="shared" si="6"/>
        <v>254.10000000000002</v>
      </c>
      <c r="R23" s="361">
        <v>254</v>
      </c>
      <c r="S23" s="375">
        <f t="shared" si="7"/>
        <v>0.10000000000002274</v>
      </c>
    </row>
    <row r="24" spans="1:19" s="3" customFormat="1" ht="30" customHeight="1">
      <c r="A24" s="308">
        <v>15</v>
      </c>
      <c r="B24" s="309" t="s">
        <v>36</v>
      </c>
      <c r="C24" s="309" t="s">
        <v>16</v>
      </c>
      <c r="D24" s="310">
        <v>135358</v>
      </c>
      <c r="E24" s="311">
        <v>290.10000000000002</v>
      </c>
      <c r="F24" s="311">
        <v>265.8</v>
      </c>
      <c r="G24" s="311">
        <v>40</v>
      </c>
      <c r="H24" s="311">
        <f t="shared" si="0"/>
        <v>972.00000000000045</v>
      </c>
      <c r="I24" s="312">
        <v>1.1000000000000001</v>
      </c>
      <c r="J24" s="312">
        <f t="shared" si="1"/>
        <v>1069.2000000000005</v>
      </c>
      <c r="K24" s="312">
        <f t="shared" si="5"/>
        <v>1069.2000000000005</v>
      </c>
      <c r="L24" s="313">
        <v>105</v>
      </c>
      <c r="M24" s="314">
        <v>193</v>
      </c>
      <c r="N24" s="315">
        <f t="shared" si="2"/>
        <v>88</v>
      </c>
      <c r="O24" s="316">
        <v>4.4000000000000004</v>
      </c>
      <c r="P24" s="316">
        <f t="shared" si="3"/>
        <v>387.20000000000005</v>
      </c>
      <c r="Q24" s="325">
        <f t="shared" si="6"/>
        <v>1456.4000000000005</v>
      </c>
      <c r="R24" s="359">
        <v>1456</v>
      </c>
      <c r="S24" s="375">
        <f t="shared" si="7"/>
        <v>0.4000000000005457</v>
      </c>
    </row>
    <row r="25" spans="1:19" s="4" customFormat="1" ht="30" customHeight="1">
      <c r="A25" s="275">
        <v>16</v>
      </c>
      <c r="B25" s="276" t="s">
        <v>126</v>
      </c>
      <c r="C25" s="276" t="s">
        <v>16</v>
      </c>
      <c r="D25" s="277">
        <v>135380</v>
      </c>
      <c r="E25" s="278">
        <v>408.4</v>
      </c>
      <c r="F25" s="278">
        <v>380.2</v>
      </c>
      <c r="G25" s="278">
        <v>40</v>
      </c>
      <c r="H25" s="278">
        <f t="shared" si="0"/>
        <v>1127.9999999999995</v>
      </c>
      <c r="I25" s="279">
        <v>1.1000000000000001</v>
      </c>
      <c r="J25" s="279">
        <f t="shared" si="1"/>
        <v>1240.7999999999995</v>
      </c>
      <c r="K25" s="279">
        <f t="shared" si="5"/>
        <v>1240.7999999999995</v>
      </c>
      <c r="L25" s="280">
        <v>110</v>
      </c>
      <c r="M25" s="281">
        <v>207</v>
      </c>
      <c r="N25" s="282">
        <f t="shared" si="2"/>
        <v>97</v>
      </c>
      <c r="O25" s="283">
        <v>4.4000000000000004</v>
      </c>
      <c r="P25" s="283">
        <f t="shared" si="3"/>
        <v>426.8</v>
      </c>
      <c r="Q25" s="346">
        <f t="shared" si="6"/>
        <v>1667.5999999999995</v>
      </c>
      <c r="R25" s="353">
        <v>1667</v>
      </c>
      <c r="S25" s="375">
        <f t="shared" si="7"/>
        <v>0.5999999999994543</v>
      </c>
    </row>
    <row r="26" spans="1:19" s="3" customFormat="1" ht="30" customHeight="1">
      <c r="A26" s="308">
        <v>17</v>
      </c>
      <c r="B26" s="309" t="s">
        <v>38</v>
      </c>
      <c r="C26" s="309" t="s">
        <v>16</v>
      </c>
      <c r="D26" s="310">
        <v>135376</v>
      </c>
      <c r="E26" s="311">
        <v>45.9</v>
      </c>
      <c r="F26" s="311">
        <v>43.8</v>
      </c>
      <c r="G26" s="311">
        <v>40</v>
      </c>
      <c r="H26" s="311">
        <f t="shared" si="0"/>
        <v>84.000000000000057</v>
      </c>
      <c r="I26" s="312">
        <v>1.1000000000000001</v>
      </c>
      <c r="J26" s="312">
        <f t="shared" si="1"/>
        <v>92.400000000000077</v>
      </c>
      <c r="K26" s="312">
        <f t="shared" si="5"/>
        <v>92.400000000000077</v>
      </c>
      <c r="L26" s="313">
        <v>59</v>
      </c>
      <c r="M26" s="314">
        <v>80</v>
      </c>
      <c r="N26" s="315">
        <f t="shared" si="2"/>
        <v>21</v>
      </c>
      <c r="O26" s="316">
        <v>4.4000000000000004</v>
      </c>
      <c r="P26" s="316">
        <f t="shared" si="3"/>
        <v>92.4</v>
      </c>
      <c r="Q26" s="325">
        <f t="shared" si="6"/>
        <v>184.80000000000007</v>
      </c>
      <c r="R26" s="359">
        <v>150</v>
      </c>
      <c r="S26" s="375">
        <f t="shared" si="7"/>
        <v>34.800000000000068</v>
      </c>
    </row>
    <row r="27" spans="1:19" s="4" customFormat="1" ht="30" customHeight="1">
      <c r="A27" s="275">
        <v>18</v>
      </c>
      <c r="B27" s="276" t="s">
        <v>39</v>
      </c>
      <c r="C27" s="276" t="s">
        <v>16</v>
      </c>
      <c r="D27" s="277" t="s">
        <v>85</v>
      </c>
      <c r="E27" s="278">
        <v>790</v>
      </c>
      <c r="F27" s="278">
        <v>726</v>
      </c>
      <c r="G27" s="278">
        <v>1</v>
      </c>
      <c r="H27" s="278">
        <f t="shared" si="0"/>
        <v>64</v>
      </c>
      <c r="I27" s="279">
        <v>1.1000000000000001</v>
      </c>
      <c r="J27" s="279">
        <f t="shared" si="1"/>
        <v>70.400000000000006</v>
      </c>
      <c r="K27" s="279">
        <f t="shared" si="5"/>
        <v>70.400000000000006</v>
      </c>
      <c r="L27" s="280">
        <v>9</v>
      </c>
      <c r="M27" s="281">
        <v>17</v>
      </c>
      <c r="N27" s="282">
        <f t="shared" si="2"/>
        <v>8</v>
      </c>
      <c r="O27" s="283">
        <v>4.4000000000000004</v>
      </c>
      <c r="P27" s="283">
        <f t="shared" si="3"/>
        <v>35.200000000000003</v>
      </c>
      <c r="Q27" s="346">
        <f t="shared" si="6"/>
        <v>105.60000000000001</v>
      </c>
      <c r="R27" s="353">
        <v>105.6</v>
      </c>
      <c r="S27" s="375">
        <f t="shared" si="7"/>
        <v>0</v>
      </c>
    </row>
    <row r="28" spans="1:19" s="3" customFormat="1" ht="30" customHeight="1">
      <c r="A28" s="308">
        <v>19</v>
      </c>
      <c r="B28" s="309" t="s">
        <v>41</v>
      </c>
      <c r="C28" s="309" t="s">
        <v>16</v>
      </c>
      <c r="D28" s="310" t="s">
        <v>85</v>
      </c>
      <c r="E28" s="311">
        <v>3691</v>
      </c>
      <c r="F28" s="311">
        <v>3389</v>
      </c>
      <c r="G28" s="311">
        <v>1</v>
      </c>
      <c r="H28" s="311">
        <f t="shared" si="0"/>
        <v>302</v>
      </c>
      <c r="I28" s="312">
        <v>1.1000000000000001</v>
      </c>
      <c r="J28" s="312">
        <f t="shared" si="1"/>
        <v>332.20000000000005</v>
      </c>
      <c r="K28" s="312">
        <f t="shared" si="5"/>
        <v>332.20000000000005</v>
      </c>
      <c r="L28" s="313">
        <v>38</v>
      </c>
      <c r="M28" s="314">
        <v>83</v>
      </c>
      <c r="N28" s="315">
        <f t="shared" si="2"/>
        <v>45</v>
      </c>
      <c r="O28" s="316">
        <v>4.4000000000000004</v>
      </c>
      <c r="P28" s="316">
        <f t="shared" si="3"/>
        <v>198.00000000000003</v>
      </c>
      <c r="Q28" s="325">
        <f t="shared" si="6"/>
        <v>530.20000000000005</v>
      </c>
      <c r="R28" s="359">
        <v>530.20000000000005</v>
      </c>
      <c r="S28" s="375">
        <f t="shared" si="7"/>
        <v>0</v>
      </c>
    </row>
    <row r="29" spans="1:19" s="4" customFormat="1" ht="30" customHeight="1">
      <c r="A29" s="275">
        <v>20</v>
      </c>
      <c r="B29" s="276" t="s">
        <v>43</v>
      </c>
      <c r="C29" s="276" t="s">
        <v>16</v>
      </c>
      <c r="D29" s="277">
        <v>281917</v>
      </c>
      <c r="E29" s="278">
        <v>133.5</v>
      </c>
      <c r="F29" s="278">
        <v>105.7</v>
      </c>
      <c r="G29" s="278">
        <v>100</v>
      </c>
      <c r="H29" s="278">
        <f t="shared" si="0"/>
        <v>2779.9999999999995</v>
      </c>
      <c r="I29" s="279">
        <v>1.1000000000000001</v>
      </c>
      <c r="J29" s="279">
        <f t="shared" si="1"/>
        <v>3057.9999999999995</v>
      </c>
      <c r="K29" s="279">
        <f t="shared" si="5"/>
        <v>3057.9999999999995</v>
      </c>
      <c r="L29" s="280">
        <v>9</v>
      </c>
      <c r="M29" s="281">
        <v>14</v>
      </c>
      <c r="N29" s="282">
        <f t="shared" si="2"/>
        <v>5</v>
      </c>
      <c r="O29" s="283">
        <v>4.4000000000000004</v>
      </c>
      <c r="P29" s="283">
        <f t="shared" si="3"/>
        <v>22</v>
      </c>
      <c r="Q29" s="346">
        <f t="shared" si="6"/>
        <v>3079.9999999999995</v>
      </c>
      <c r="R29" s="353">
        <v>3080</v>
      </c>
      <c r="S29" s="375">
        <f t="shared" si="7"/>
        <v>0</v>
      </c>
    </row>
    <row r="30" spans="1:19" s="3" customFormat="1" ht="30" customHeight="1">
      <c r="A30" s="308">
        <v>21</v>
      </c>
      <c r="B30" s="309" t="s">
        <v>44</v>
      </c>
      <c r="C30" s="309" t="s">
        <v>16</v>
      </c>
      <c r="D30" s="310">
        <v>136865</v>
      </c>
      <c r="E30" s="311">
        <v>391.7</v>
      </c>
      <c r="F30" s="311">
        <v>373.9</v>
      </c>
      <c r="G30" s="311">
        <v>20</v>
      </c>
      <c r="H30" s="311">
        <f t="shared" si="0"/>
        <v>356.00000000000023</v>
      </c>
      <c r="I30" s="312">
        <v>1.1000000000000001</v>
      </c>
      <c r="J30" s="312">
        <f t="shared" si="1"/>
        <v>391.60000000000031</v>
      </c>
      <c r="K30" s="312">
        <f t="shared" si="5"/>
        <v>391.60000000000031</v>
      </c>
      <c r="L30" s="313">
        <v>4</v>
      </c>
      <c r="M30" s="314">
        <v>7</v>
      </c>
      <c r="N30" s="315">
        <f t="shared" si="2"/>
        <v>3</v>
      </c>
      <c r="O30" s="316">
        <v>4.4000000000000004</v>
      </c>
      <c r="P30" s="316">
        <f t="shared" si="3"/>
        <v>13.200000000000001</v>
      </c>
      <c r="Q30" s="325">
        <f t="shared" si="6"/>
        <v>404.8000000000003</v>
      </c>
      <c r="R30" s="359">
        <v>404.8</v>
      </c>
      <c r="S30" s="375">
        <f t="shared" si="7"/>
        <v>0</v>
      </c>
    </row>
    <row r="31" spans="1:19" s="4" customFormat="1" ht="30" customHeight="1">
      <c r="A31" s="275">
        <v>22</v>
      </c>
      <c r="B31" s="276" t="s">
        <v>46</v>
      </c>
      <c r="C31" s="276" t="s">
        <v>16</v>
      </c>
      <c r="D31" s="277">
        <v>121780</v>
      </c>
      <c r="E31" s="278">
        <v>97.5</v>
      </c>
      <c r="F31" s="278">
        <v>89.4</v>
      </c>
      <c r="G31" s="278">
        <v>20</v>
      </c>
      <c r="H31" s="278">
        <f t="shared" si="0"/>
        <v>161.99999999999989</v>
      </c>
      <c r="I31" s="279">
        <v>1.1000000000000001</v>
      </c>
      <c r="J31" s="279">
        <f t="shared" si="1"/>
        <v>178.1999999999999</v>
      </c>
      <c r="K31" s="279">
        <f t="shared" si="5"/>
        <v>178.1999999999999</v>
      </c>
      <c r="L31" s="280">
        <v>38</v>
      </c>
      <c r="M31" s="281">
        <v>89</v>
      </c>
      <c r="N31" s="282">
        <f t="shared" si="2"/>
        <v>51</v>
      </c>
      <c r="O31" s="283">
        <v>4.4000000000000004</v>
      </c>
      <c r="P31" s="283">
        <f t="shared" si="3"/>
        <v>224.4</v>
      </c>
      <c r="Q31" s="346">
        <f t="shared" si="6"/>
        <v>402.59999999999991</v>
      </c>
      <c r="R31" s="353">
        <v>403</v>
      </c>
      <c r="S31" s="375">
        <f t="shared" si="7"/>
        <v>-0.40000000000009095</v>
      </c>
    </row>
    <row r="32" spans="1:19" s="258" customFormat="1" ht="30" customHeight="1" thickBot="1">
      <c r="A32" s="326">
        <v>23</v>
      </c>
      <c r="B32" s="327" t="s">
        <v>47</v>
      </c>
      <c r="C32" s="327" t="s">
        <v>16</v>
      </c>
      <c r="D32" s="328">
        <v>135940</v>
      </c>
      <c r="E32" s="329">
        <v>67.8</v>
      </c>
      <c r="F32" s="329">
        <v>61.6</v>
      </c>
      <c r="G32" s="329">
        <v>30</v>
      </c>
      <c r="H32" s="329">
        <f t="shared" si="0"/>
        <v>185.99999999999989</v>
      </c>
      <c r="I32" s="330">
        <v>1.1000000000000001</v>
      </c>
      <c r="J32" s="330">
        <f t="shared" si="1"/>
        <v>204.59999999999988</v>
      </c>
      <c r="K32" s="330">
        <f t="shared" si="5"/>
        <v>204.59999999999988</v>
      </c>
      <c r="L32" s="331">
        <v>3</v>
      </c>
      <c r="M32" s="332">
        <v>7</v>
      </c>
      <c r="N32" s="333">
        <f t="shared" si="2"/>
        <v>4</v>
      </c>
      <c r="O32" s="334">
        <v>4.4000000000000004</v>
      </c>
      <c r="P32" s="334">
        <f t="shared" si="3"/>
        <v>17.600000000000001</v>
      </c>
      <c r="Q32" s="335">
        <f t="shared" si="6"/>
        <v>222.19999999999987</v>
      </c>
      <c r="R32" s="360">
        <v>223</v>
      </c>
      <c r="S32" s="375">
        <f t="shared" si="7"/>
        <v>-0.80000000000012506</v>
      </c>
    </row>
    <row r="33" spans="1:19" s="5" customFormat="1" ht="30" customHeight="1" thickBot="1">
      <c r="A33" s="469">
        <v>24</v>
      </c>
      <c r="B33" s="465" t="s">
        <v>48</v>
      </c>
      <c r="C33" s="292" t="s">
        <v>110</v>
      </c>
      <c r="D33" s="293" t="s">
        <v>215</v>
      </c>
      <c r="E33" s="294">
        <v>0</v>
      </c>
      <c r="F33" s="294">
        <v>0</v>
      </c>
      <c r="G33" s="294">
        <v>0</v>
      </c>
      <c r="H33" s="294">
        <v>0</v>
      </c>
      <c r="I33" s="295">
        <v>0</v>
      </c>
      <c r="J33" s="295">
        <v>0</v>
      </c>
      <c r="K33" s="295"/>
      <c r="L33" s="296">
        <v>258</v>
      </c>
      <c r="M33" s="297">
        <v>556</v>
      </c>
      <c r="N33" s="298">
        <f t="shared" si="2"/>
        <v>298</v>
      </c>
      <c r="O33" s="299">
        <v>4.4000000000000004</v>
      </c>
      <c r="P33" s="299">
        <f t="shared" si="3"/>
        <v>1311.2</v>
      </c>
      <c r="Q33" s="481">
        <v>1548.8</v>
      </c>
      <c r="R33" s="509">
        <v>1550</v>
      </c>
      <c r="S33" s="488">
        <f>Q33-R33</f>
        <v>-1.2000000000000455</v>
      </c>
    </row>
    <row r="34" spans="1:19" s="4" customFormat="1" ht="30" customHeight="1">
      <c r="A34" s="468"/>
      <c r="B34" s="464"/>
      <c r="C34" s="300" t="s">
        <v>16</v>
      </c>
      <c r="D34" s="301">
        <v>121780</v>
      </c>
      <c r="E34" s="302">
        <v>4211.7</v>
      </c>
      <c r="F34" s="302">
        <v>3973.2</v>
      </c>
      <c r="G34" s="302">
        <v>30</v>
      </c>
      <c r="H34" s="302">
        <f>(E34-F34)*G34</f>
        <v>7155</v>
      </c>
      <c r="I34" s="303">
        <v>1.1000000000000001</v>
      </c>
      <c r="J34" s="303">
        <f>H34*I34</f>
        <v>7870.5000000000009</v>
      </c>
      <c r="K34" s="303"/>
      <c r="L34" s="304">
        <v>73</v>
      </c>
      <c r="M34" s="305">
        <v>127</v>
      </c>
      <c r="N34" s="306">
        <f t="shared" si="2"/>
        <v>54</v>
      </c>
      <c r="O34" s="307">
        <v>4.4000000000000004</v>
      </c>
      <c r="P34" s="307">
        <f t="shared" si="3"/>
        <v>237.60000000000002</v>
      </c>
      <c r="Q34" s="480"/>
      <c r="R34" s="510"/>
      <c r="S34" s="487"/>
    </row>
    <row r="35" spans="1:19" s="2" customFormat="1" ht="30" customHeight="1" thickBot="1">
      <c r="A35" s="455">
        <v>25</v>
      </c>
      <c r="B35" s="482" t="s">
        <v>186</v>
      </c>
      <c r="C35" s="284" t="s">
        <v>17</v>
      </c>
      <c r="D35" s="285" t="s">
        <v>85</v>
      </c>
      <c r="E35" s="286">
        <v>203</v>
      </c>
      <c r="F35" s="286">
        <v>24</v>
      </c>
      <c r="G35" s="286">
        <v>1</v>
      </c>
      <c r="H35" s="286">
        <f>(E35-F35)*G35</f>
        <v>179</v>
      </c>
      <c r="I35" s="287">
        <v>1.1000000000000001</v>
      </c>
      <c r="J35" s="287">
        <f>H35*I35</f>
        <v>196.9</v>
      </c>
      <c r="K35" s="459">
        <f>J35+J36</f>
        <v>9084.9</v>
      </c>
      <c r="L35" s="470">
        <v>23</v>
      </c>
      <c r="M35" s="472">
        <v>73</v>
      </c>
      <c r="N35" s="290">
        <f t="shared" si="2"/>
        <v>50</v>
      </c>
      <c r="O35" s="291">
        <v>4.4000000000000004</v>
      </c>
      <c r="P35" s="291">
        <f t="shared" si="3"/>
        <v>220.00000000000003</v>
      </c>
      <c r="Q35" s="507">
        <f>K35+P35+P36</f>
        <v>9304.9</v>
      </c>
      <c r="R35" s="517">
        <v>0</v>
      </c>
      <c r="S35" s="499">
        <f>Q35-R35</f>
        <v>9304.9</v>
      </c>
    </row>
    <row r="36" spans="1:19" s="3" customFormat="1" ht="30" customHeight="1">
      <c r="A36" s="456"/>
      <c r="B36" s="483"/>
      <c r="C36" s="267" t="s">
        <v>16</v>
      </c>
      <c r="D36" s="268">
        <v>134768</v>
      </c>
      <c r="E36" s="269">
        <v>1104</v>
      </c>
      <c r="F36" s="269">
        <v>1003</v>
      </c>
      <c r="G36" s="269">
        <v>80</v>
      </c>
      <c r="H36" s="269">
        <f>(E36-F36)*G36</f>
        <v>8080</v>
      </c>
      <c r="I36" s="270">
        <v>1.1000000000000001</v>
      </c>
      <c r="J36" s="270">
        <f>H36*I36</f>
        <v>8888</v>
      </c>
      <c r="K36" s="458"/>
      <c r="L36" s="471"/>
      <c r="M36" s="473"/>
      <c r="N36" s="273">
        <f t="shared" si="2"/>
        <v>0</v>
      </c>
      <c r="O36" s="274">
        <v>4.4000000000000004</v>
      </c>
      <c r="P36" s="274">
        <f t="shared" si="3"/>
        <v>0</v>
      </c>
      <c r="Q36" s="508"/>
      <c r="R36" s="518"/>
      <c r="S36" s="500"/>
    </row>
    <row r="37" spans="1:19" s="4" customFormat="1" ht="30" customHeight="1">
      <c r="A37" s="275">
        <v>27</v>
      </c>
      <c r="B37" s="276" t="s">
        <v>111</v>
      </c>
      <c r="C37" s="276" t="s">
        <v>16</v>
      </c>
      <c r="D37" s="277">
        <v>135939</v>
      </c>
      <c r="E37" s="278">
        <v>261.8</v>
      </c>
      <c r="F37" s="278">
        <v>216.8</v>
      </c>
      <c r="G37" s="278">
        <v>80</v>
      </c>
      <c r="H37" s="278">
        <f>(E37-F37)*G37</f>
        <v>3600</v>
      </c>
      <c r="I37" s="279">
        <v>1.1000000000000001</v>
      </c>
      <c r="J37" s="279">
        <f>H37*I37</f>
        <v>3960.0000000000005</v>
      </c>
      <c r="K37" s="279">
        <f>J37</f>
        <v>3960.0000000000005</v>
      </c>
      <c r="L37" s="280">
        <v>0</v>
      </c>
      <c r="M37" s="281">
        <v>2</v>
      </c>
      <c r="N37" s="282">
        <f t="shared" si="2"/>
        <v>2</v>
      </c>
      <c r="O37" s="283">
        <v>4.4000000000000004</v>
      </c>
      <c r="P37" s="283">
        <f t="shared" si="3"/>
        <v>8.8000000000000007</v>
      </c>
      <c r="Q37" s="346">
        <f>K37+P37</f>
        <v>3968.8000000000006</v>
      </c>
      <c r="R37" s="353">
        <v>0</v>
      </c>
      <c r="S37" s="376">
        <f>Q37-R37</f>
        <v>3968.8000000000006</v>
      </c>
    </row>
    <row r="38" spans="1:19" s="3" customFormat="1" ht="30" customHeight="1">
      <c r="A38" s="308">
        <v>28</v>
      </c>
      <c r="B38" s="309" t="s">
        <v>127</v>
      </c>
      <c r="C38" s="309" t="s">
        <v>16</v>
      </c>
      <c r="D38" s="310" t="s">
        <v>128</v>
      </c>
      <c r="E38" s="311">
        <v>141</v>
      </c>
      <c r="F38" s="311">
        <v>120.1</v>
      </c>
      <c r="G38" s="311">
        <v>80</v>
      </c>
      <c r="H38" s="311">
        <f>(E38-F38)*G38</f>
        <v>1672.0000000000005</v>
      </c>
      <c r="I38" s="312">
        <v>1.1000000000000001</v>
      </c>
      <c r="J38" s="312">
        <f>H38*I38</f>
        <v>1839.2000000000007</v>
      </c>
      <c r="K38" s="312">
        <f>J38</f>
        <v>1839.2000000000007</v>
      </c>
      <c r="L38" s="313">
        <v>0</v>
      </c>
      <c r="M38" s="314">
        <v>8</v>
      </c>
      <c r="N38" s="315">
        <f t="shared" si="2"/>
        <v>8</v>
      </c>
      <c r="O38" s="316">
        <v>4.4000000000000004</v>
      </c>
      <c r="P38" s="316">
        <f t="shared" si="3"/>
        <v>35.200000000000003</v>
      </c>
      <c r="Q38" s="325">
        <f>K38+P38</f>
        <v>1874.4000000000008</v>
      </c>
      <c r="R38" s="358">
        <v>1839</v>
      </c>
      <c r="S38" s="377">
        <f>Q38-R38</f>
        <v>35.400000000000773</v>
      </c>
    </row>
    <row r="39" spans="1:19" s="6" customFormat="1" ht="30" customHeight="1">
      <c r="A39" s="17"/>
      <c r="B39" s="17"/>
      <c r="C39" s="17"/>
      <c r="D39" s="18"/>
      <c r="E39" s="18"/>
      <c r="F39" s="18"/>
      <c r="G39" s="18"/>
      <c r="H39" s="18">
        <f>SUM(H4:H38)</f>
        <v>50504</v>
      </c>
      <c r="I39" s="18"/>
      <c r="J39" s="19">
        <f>SUM(J4:J38)</f>
        <v>55554.400000000009</v>
      </c>
      <c r="K39" s="19">
        <f>SUM(K4:K38)</f>
        <v>47683.900000000009</v>
      </c>
      <c r="L39" s="20"/>
      <c r="M39" s="21"/>
      <c r="N39" s="22">
        <f>SUM(N4:N38)</f>
        <v>1436</v>
      </c>
      <c r="O39" s="23"/>
      <c r="P39" s="23"/>
      <c r="Q39" s="24">
        <f>SUM(Q4:Q38)</f>
        <v>54002.3</v>
      </c>
      <c r="R39" s="348">
        <f>SUM(R4:R38)</f>
        <v>22672.799999999999</v>
      </c>
      <c r="S39" s="351">
        <f>SUM(S4:S38)</f>
        <v>31329.500000000004</v>
      </c>
    </row>
    <row r="40" spans="1:19" s="6" customFormat="1" ht="30" customHeight="1" thickBot="1">
      <c r="A40" s="475" t="s">
        <v>112</v>
      </c>
      <c r="B40" s="475"/>
      <c r="C40" s="475" t="s">
        <v>232</v>
      </c>
      <c r="D40" s="476"/>
      <c r="E40" s="476"/>
      <c r="F40" s="476"/>
      <c r="G40" s="476"/>
      <c r="H40" s="476"/>
      <c r="I40" s="476"/>
      <c r="J40" s="476"/>
      <c r="K40" s="476"/>
      <c r="L40" s="477"/>
      <c r="M40" s="478"/>
      <c r="N40" s="475"/>
      <c r="O40" s="475"/>
      <c r="P40" s="475"/>
      <c r="Q40" s="25"/>
      <c r="R40" s="362">
        <f>-1855-80</f>
        <v>-1935</v>
      </c>
    </row>
    <row r="41" spans="1:19" s="6" customFormat="1" ht="30" customHeight="1" thickBot="1">
      <c r="A41" s="453" t="s">
        <v>117</v>
      </c>
      <c r="B41" s="453"/>
      <c r="C41" s="443" t="s">
        <v>216</v>
      </c>
      <c r="D41" s="444"/>
      <c r="E41" s="444"/>
      <c r="F41" s="444"/>
      <c r="G41" s="444"/>
      <c r="H41" s="444"/>
      <c r="I41" s="444"/>
      <c r="J41" s="444"/>
      <c r="K41" s="444"/>
      <c r="L41" s="445"/>
      <c r="M41" s="445"/>
      <c r="N41" s="444"/>
      <c r="O41" s="444"/>
      <c r="P41" s="444"/>
      <c r="Q41" s="26"/>
      <c r="R41" s="363">
        <v>-6000</v>
      </c>
    </row>
    <row r="42" spans="1:19" s="6" customFormat="1" ht="30" customHeight="1" thickBot="1">
      <c r="A42" s="446"/>
      <c r="B42" s="446"/>
      <c r="C42" s="454" t="s">
        <v>196</v>
      </c>
      <c r="D42" s="441"/>
      <c r="E42" s="441"/>
      <c r="F42" s="441"/>
      <c r="G42" s="441"/>
      <c r="H42" s="441"/>
      <c r="I42" s="441"/>
      <c r="J42" s="441"/>
      <c r="K42" s="441"/>
      <c r="L42" s="442"/>
      <c r="M42" s="442"/>
      <c r="N42" s="441"/>
      <c r="O42" s="441"/>
      <c r="P42" s="441"/>
      <c r="Q42" s="27"/>
      <c r="R42" s="364">
        <v>-700</v>
      </c>
    </row>
    <row r="43" spans="1:19" s="6" customFormat="1" ht="30" customHeight="1" thickBot="1">
      <c r="A43" s="453"/>
      <c r="B43" s="453"/>
      <c r="C43" s="443" t="s">
        <v>198</v>
      </c>
      <c r="D43" s="444"/>
      <c r="E43" s="444"/>
      <c r="F43" s="444"/>
      <c r="G43" s="444"/>
      <c r="H43" s="444"/>
      <c r="I43" s="444"/>
      <c r="J43" s="444"/>
      <c r="K43" s="444"/>
      <c r="L43" s="445"/>
      <c r="M43" s="445"/>
      <c r="N43" s="444"/>
      <c r="O43" s="444"/>
      <c r="P43" s="444"/>
      <c r="Q43" s="26"/>
      <c r="R43" s="363">
        <v>-1800</v>
      </c>
    </row>
    <row r="44" spans="1:19" s="6" customFormat="1" ht="30" customHeight="1" thickBot="1">
      <c r="A44" s="446"/>
      <c r="B44" s="446"/>
      <c r="C44" s="454" t="s">
        <v>197</v>
      </c>
      <c r="D44" s="441"/>
      <c r="E44" s="441"/>
      <c r="F44" s="441"/>
      <c r="G44" s="441"/>
      <c r="H44" s="441"/>
      <c r="I44" s="441"/>
      <c r="J44" s="441"/>
      <c r="K44" s="441"/>
      <c r="L44" s="442"/>
      <c r="M44" s="442"/>
      <c r="N44" s="441"/>
      <c r="O44" s="441"/>
      <c r="P44" s="441"/>
      <c r="Q44" s="27"/>
      <c r="R44" s="364">
        <v>-1080</v>
      </c>
    </row>
    <row r="45" spans="1:19" s="6" customFormat="1" ht="30" customHeight="1" thickBot="1">
      <c r="A45" s="453"/>
      <c r="B45" s="453"/>
      <c r="C45" s="443" t="s">
        <v>199</v>
      </c>
      <c r="D45" s="444"/>
      <c r="E45" s="444"/>
      <c r="F45" s="444"/>
      <c r="G45" s="444"/>
      <c r="H45" s="444"/>
      <c r="I45" s="444"/>
      <c r="J45" s="444"/>
      <c r="K45" s="444"/>
      <c r="L45" s="445"/>
      <c r="M45" s="445"/>
      <c r="N45" s="444"/>
      <c r="O45" s="444"/>
      <c r="P45" s="444"/>
      <c r="Q45" s="26"/>
      <c r="R45" s="363">
        <v>-3813</v>
      </c>
    </row>
    <row r="46" spans="1:19" s="6" customFormat="1" ht="30" customHeight="1" thickBot="1">
      <c r="A46" s="446"/>
      <c r="B46" s="446"/>
      <c r="C46" s="454" t="s">
        <v>212</v>
      </c>
      <c r="D46" s="441"/>
      <c r="E46" s="441"/>
      <c r="F46" s="441"/>
      <c r="G46" s="441"/>
      <c r="H46" s="441"/>
      <c r="I46" s="441"/>
      <c r="J46" s="441"/>
      <c r="K46" s="441"/>
      <c r="L46" s="442"/>
      <c r="M46" s="442"/>
      <c r="N46" s="441"/>
      <c r="O46" s="441"/>
      <c r="P46" s="441"/>
      <c r="Q46" s="27"/>
      <c r="R46" s="364">
        <f>-2600*(0.237+0.286)</f>
        <v>-1359.7999999999997</v>
      </c>
    </row>
    <row r="47" spans="1:19" s="6" customFormat="1" ht="30" customHeight="1" thickBot="1">
      <c r="A47" s="453"/>
      <c r="B47" s="453"/>
      <c r="C47" s="443" t="s">
        <v>213</v>
      </c>
      <c r="D47" s="444"/>
      <c r="E47" s="444"/>
      <c r="F47" s="444"/>
      <c r="G47" s="444"/>
      <c r="H47" s="444"/>
      <c r="I47" s="444"/>
      <c r="J47" s="444"/>
      <c r="K47" s="444"/>
      <c r="L47" s="445"/>
      <c r="M47" s="445"/>
      <c r="N47" s="444"/>
      <c r="O47" s="444"/>
      <c r="P47" s="444"/>
      <c r="Q47" s="26"/>
      <c r="R47" s="363">
        <f>-1.42*2000</f>
        <v>-2840</v>
      </c>
    </row>
    <row r="48" spans="1:19" s="6" customFormat="1" ht="30" customHeight="1" thickBot="1">
      <c r="A48" s="446"/>
      <c r="B48" s="446"/>
      <c r="C48" s="440" t="s">
        <v>214</v>
      </c>
      <c r="D48" s="441"/>
      <c r="E48" s="441"/>
      <c r="F48" s="441"/>
      <c r="G48" s="441"/>
      <c r="H48" s="441"/>
      <c r="I48" s="441"/>
      <c r="J48" s="441"/>
      <c r="K48" s="441"/>
      <c r="L48" s="442"/>
      <c r="M48" s="442"/>
      <c r="N48" s="441"/>
      <c r="O48" s="441"/>
      <c r="P48" s="441"/>
      <c r="Q48" s="27"/>
      <c r="R48" s="364"/>
    </row>
    <row r="49" spans="1:18" s="6" customFormat="1" ht="30" customHeight="1" thickBot="1">
      <c r="A49" s="453"/>
      <c r="B49" s="453"/>
      <c r="C49" s="443" t="s">
        <v>217</v>
      </c>
      <c r="D49" s="444"/>
      <c r="E49" s="444"/>
      <c r="F49" s="444"/>
      <c r="G49" s="444"/>
      <c r="H49" s="444"/>
      <c r="I49" s="444"/>
      <c r="J49" s="444"/>
      <c r="K49" s="444"/>
      <c r="L49" s="445"/>
      <c r="M49" s="445"/>
      <c r="N49" s="444"/>
      <c r="O49" s="444"/>
      <c r="P49" s="444"/>
      <c r="Q49" s="26"/>
      <c r="R49" s="363">
        <v>-32807.46</v>
      </c>
    </row>
    <row r="50" spans="1:18" s="6" customFormat="1" ht="30" customHeight="1" thickBot="1">
      <c r="A50" s="446"/>
      <c r="B50" s="446"/>
      <c r="C50" s="441" t="s">
        <v>229</v>
      </c>
      <c r="D50" s="441"/>
      <c r="E50" s="441"/>
      <c r="F50" s="441"/>
      <c r="G50" s="441"/>
      <c r="H50" s="441"/>
      <c r="I50" s="441"/>
      <c r="J50" s="441"/>
      <c r="K50" s="441"/>
      <c r="L50" s="442"/>
      <c r="M50" s="442"/>
      <c r="N50" s="441"/>
      <c r="O50" s="441"/>
      <c r="P50" s="441"/>
      <c r="Q50" s="27"/>
      <c r="R50" s="364">
        <f>'2025年12月电费'!O48</f>
        <v>4761.7700000000041</v>
      </c>
    </row>
    <row r="51" spans="1:18" s="6" customFormat="1" ht="30" customHeight="1" thickBot="1">
      <c r="A51" s="453"/>
      <c r="B51" s="453"/>
      <c r="C51" s="444" t="s">
        <v>233</v>
      </c>
      <c r="D51" s="444"/>
      <c r="E51" s="444"/>
      <c r="F51" s="444"/>
      <c r="G51" s="444"/>
      <c r="H51" s="444"/>
      <c r="I51" s="444"/>
      <c r="J51" s="444"/>
      <c r="K51" s="444"/>
      <c r="L51" s="445"/>
      <c r="M51" s="445"/>
      <c r="N51" s="444"/>
      <c r="O51" s="444"/>
      <c r="P51" s="444"/>
      <c r="Q51" s="26"/>
      <c r="R51" s="363">
        <v>-1000</v>
      </c>
    </row>
    <row r="52" spans="1:18" s="6" customFormat="1" ht="30" customHeight="1" thickBot="1">
      <c r="A52" s="450" t="s">
        <v>200</v>
      </c>
      <c r="B52" s="451"/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2"/>
      <c r="R52" s="363">
        <f>SUM(R40:R51)</f>
        <v>-48573.489999999991</v>
      </c>
    </row>
    <row r="53" spans="1:18" s="7" customFormat="1" ht="30" customHeight="1" thickBot="1">
      <c r="A53" s="446" t="s">
        <v>140</v>
      </c>
      <c r="B53" s="446"/>
      <c r="C53" s="446"/>
      <c r="D53" s="447"/>
      <c r="E53" s="447"/>
      <c r="F53" s="447"/>
      <c r="G53" s="447"/>
      <c r="H53" s="447"/>
      <c r="I53" s="447"/>
      <c r="J53" s="447"/>
      <c r="K53" s="447"/>
      <c r="L53" s="448"/>
      <c r="M53" s="449"/>
      <c r="N53" s="446"/>
      <c r="O53" s="446"/>
      <c r="P53" s="446"/>
      <c r="Q53" s="28"/>
      <c r="R53" s="365">
        <f>R39+R52</f>
        <v>-25900.689999999991</v>
      </c>
    </row>
    <row r="54" spans="1:18" s="7" customFormat="1" ht="30" customHeight="1">
      <c r="A54" s="29"/>
      <c r="B54" s="29"/>
      <c r="C54" s="29"/>
      <c r="D54" s="30"/>
      <c r="E54" s="31"/>
      <c r="F54" s="31"/>
      <c r="G54" s="31"/>
      <c r="H54" s="31"/>
      <c r="I54" s="31"/>
      <c r="J54" s="31"/>
      <c r="K54" s="31"/>
      <c r="L54" s="32"/>
      <c r="M54" s="33"/>
      <c r="N54" s="6"/>
      <c r="O54" s="6"/>
      <c r="P54" s="6"/>
      <c r="R54" s="366"/>
    </row>
    <row r="55" spans="1:18" s="8" customFormat="1" ht="28" customHeight="1">
      <c r="A55" s="10"/>
      <c r="B55" s="10"/>
      <c r="C55" s="10"/>
      <c r="D55" s="11"/>
      <c r="E55" s="12"/>
      <c r="F55" s="12"/>
      <c r="G55" s="12"/>
      <c r="H55" s="12"/>
      <c r="I55" s="12"/>
      <c r="J55" s="12"/>
      <c r="K55" s="12"/>
      <c r="L55" s="13"/>
      <c r="M55" s="14"/>
      <c r="N55" s="9"/>
      <c r="O55" s="9"/>
      <c r="P55" s="9"/>
      <c r="R55" s="367"/>
    </row>
    <row r="56" spans="1:18" s="8" customFormat="1" ht="28" customHeight="1">
      <c r="A56" s="10"/>
      <c r="B56" s="10"/>
      <c r="C56" s="10"/>
      <c r="D56" s="11"/>
      <c r="E56" s="12"/>
      <c r="F56" s="12"/>
      <c r="G56" s="12"/>
      <c r="H56" s="12"/>
      <c r="I56" s="12"/>
      <c r="J56" s="12"/>
      <c r="K56" s="12"/>
      <c r="L56" s="13"/>
      <c r="M56" s="14"/>
      <c r="N56" s="9"/>
      <c r="O56" s="9"/>
      <c r="P56" s="9"/>
      <c r="R56" s="367"/>
    </row>
    <row r="57" spans="1:18" s="8" customFormat="1" ht="28" customHeight="1">
      <c r="A57" s="10"/>
      <c r="B57" s="10"/>
      <c r="C57" s="10"/>
      <c r="D57" s="11"/>
      <c r="E57" s="12"/>
      <c r="F57" s="12"/>
      <c r="G57" s="12"/>
      <c r="H57" s="12"/>
      <c r="I57" s="12"/>
      <c r="J57" s="12"/>
      <c r="K57" s="12"/>
      <c r="L57" s="13"/>
      <c r="M57" s="14"/>
      <c r="N57" s="9"/>
      <c r="O57" s="9"/>
      <c r="P57" s="9"/>
      <c r="R57" s="367"/>
    </row>
    <row r="58" spans="1:18" s="8" customFormat="1" ht="28" customHeight="1">
      <c r="A58" s="10"/>
      <c r="B58" s="10"/>
      <c r="C58" s="10"/>
      <c r="D58" s="11"/>
      <c r="E58" s="12"/>
      <c r="F58" s="12"/>
      <c r="G58" s="12"/>
      <c r="H58" s="12"/>
      <c r="I58" s="12"/>
      <c r="J58" s="12"/>
      <c r="K58" s="12"/>
      <c r="L58" s="13"/>
      <c r="M58" s="14"/>
      <c r="N58" s="9"/>
      <c r="O58" s="9"/>
      <c r="P58" s="9"/>
      <c r="R58" s="367"/>
    </row>
    <row r="59" spans="1:18" s="8" customFormat="1" ht="28" customHeight="1">
      <c r="A59" s="10"/>
      <c r="B59" s="10"/>
      <c r="C59" s="10"/>
      <c r="D59" s="11"/>
      <c r="E59" s="12"/>
      <c r="F59" s="12"/>
      <c r="G59" s="12"/>
      <c r="H59" s="12"/>
      <c r="I59" s="12"/>
      <c r="J59" s="12"/>
      <c r="K59" s="12"/>
      <c r="L59" s="13"/>
      <c r="M59" s="14"/>
      <c r="N59" s="9"/>
      <c r="O59" s="9"/>
      <c r="P59" s="9"/>
      <c r="R59" s="367"/>
    </row>
    <row r="60" spans="1:18" s="8" customFormat="1" ht="28" customHeight="1">
      <c r="A60" s="10"/>
      <c r="B60" s="10"/>
      <c r="C60" s="10"/>
      <c r="D60" s="11"/>
      <c r="E60" s="12"/>
      <c r="F60" s="12"/>
      <c r="G60" s="12"/>
      <c r="H60" s="12"/>
      <c r="I60" s="12"/>
      <c r="J60" s="12"/>
      <c r="K60" s="12"/>
      <c r="L60" s="13"/>
      <c r="M60" s="14"/>
      <c r="N60" s="9"/>
      <c r="O60" s="9"/>
      <c r="P60" s="9"/>
      <c r="R60" s="367"/>
    </row>
    <row r="61" spans="1:18" s="8" customFormat="1" ht="28" customHeight="1">
      <c r="A61" s="10"/>
      <c r="B61" s="10"/>
      <c r="C61" s="10"/>
      <c r="D61" s="11"/>
      <c r="E61" s="12"/>
      <c r="F61" s="12"/>
      <c r="G61" s="12"/>
      <c r="H61" s="12"/>
      <c r="I61" s="12"/>
      <c r="J61" s="12"/>
      <c r="K61" s="12"/>
      <c r="L61" s="13"/>
      <c r="M61" s="14"/>
      <c r="N61" s="9"/>
      <c r="O61" s="9"/>
      <c r="P61" s="9"/>
      <c r="R61" s="367"/>
    </row>
    <row r="62" spans="1:18" s="8" customFormat="1" ht="28" customHeight="1">
      <c r="A62" s="10"/>
      <c r="B62" s="10"/>
      <c r="C62" s="10"/>
      <c r="D62" s="11"/>
      <c r="E62" s="12"/>
      <c r="F62" s="12"/>
      <c r="G62" s="12"/>
      <c r="H62" s="12"/>
      <c r="I62" s="12"/>
      <c r="J62" s="12"/>
      <c r="K62" s="12"/>
      <c r="L62" s="13"/>
      <c r="M62" s="14"/>
      <c r="N62" s="9"/>
      <c r="O62" s="9"/>
      <c r="P62" s="9"/>
      <c r="R62" s="367"/>
    </row>
    <row r="63" spans="1:18" s="8" customFormat="1" ht="28" customHeight="1">
      <c r="A63" s="10"/>
      <c r="B63" s="10"/>
      <c r="C63" s="10"/>
      <c r="D63" s="11"/>
      <c r="E63" s="12"/>
      <c r="F63" s="12"/>
      <c r="G63" s="12"/>
      <c r="H63" s="12"/>
      <c r="I63" s="12"/>
      <c r="J63" s="12"/>
      <c r="K63" s="12"/>
      <c r="L63" s="13"/>
      <c r="M63" s="14"/>
      <c r="N63" s="9"/>
      <c r="O63" s="9"/>
      <c r="P63" s="9"/>
      <c r="R63" s="367"/>
    </row>
    <row r="64" spans="1:18" s="8" customFormat="1" ht="28" customHeight="1">
      <c r="A64" s="10"/>
      <c r="B64" s="10"/>
      <c r="C64" s="10"/>
      <c r="D64" s="11"/>
      <c r="E64" s="12"/>
      <c r="F64" s="12"/>
      <c r="G64" s="12"/>
      <c r="H64" s="12"/>
      <c r="I64" s="12"/>
      <c r="J64" s="12"/>
      <c r="K64" s="12"/>
      <c r="L64" s="13"/>
      <c r="M64" s="14"/>
      <c r="N64" s="9"/>
      <c r="O64" s="9"/>
      <c r="P64" s="9"/>
      <c r="R64" s="367"/>
    </row>
    <row r="65" spans="1:18" s="8" customFormat="1" ht="28" customHeight="1">
      <c r="A65" s="10"/>
      <c r="B65" s="10"/>
      <c r="C65" s="10"/>
      <c r="D65" s="11"/>
      <c r="E65" s="12"/>
      <c r="F65" s="12"/>
      <c r="G65" s="12"/>
      <c r="H65" s="12"/>
      <c r="I65" s="12"/>
      <c r="J65" s="12"/>
      <c r="K65" s="12"/>
      <c r="L65" s="13"/>
      <c r="M65" s="14"/>
      <c r="N65" s="9"/>
      <c r="O65" s="9"/>
      <c r="P65" s="9"/>
      <c r="R65" s="367"/>
    </row>
    <row r="66" spans="1:18" s="8" customFormat="1" ht="28" customHeight="1">
      <c r="A66" s="10"/>
      <c r="B66" s="10"/>
      <c r="C66" s="10"/>
      <c r="D66" s="11"/>
      <c r="E66" s="12"/>
      <c r="F66" s="12"/>
      <c r="G66" s="12"/>
      <c r="H66" s="12"/>
      <c r="I66" s="12"/>
      <c r="J66" s="12"/>
      <c r="K66" s="12"/>
      <c r="L66" s="13"/>
      <c r="M66" s="14"/>
      <c r="N66" s="9"/>
      <c r="O66" s="9"/>
      <c r="P66" s="9"/>
      <c r="R66" s="367"/>
    </row>
    <row r="67" spans="1:18" s="8" customFormat="1" ht="28" customHeight="1">
      <c r="A67" s="10"/>
      <c r="B67" s="10"/>
      <c r="C67" s="10"/>
      <c r="D67" s="11"/>
      <c r="E67" s="12"/>
      <c r="F67" s="12"/>
      <c r="G67" s="12"/>
      <c r="H67" s="12"/>
      <c r="I67" s="12"/>
      <c r="J67" s="12"/>
      <c r="K67" s="12"/>
      <c r="L67" s="13"/>
      <c r="M67" s="14"/>
      <c r="N67" s="9"/>
      <c r="O67" s="9"/>
      <c r="P67" s="9"/>
      <c r="R67" s="367"/>
    </row>
    <row r="68" spans="1:18" s="8" customFormat="1" ht="28" customHeight="1">
      <c r="A68" s="10"/>
      <c r="B68" s="10"/>
      <c r="C68" s="10"/>
      <c r="D68" s="11"/>
      <c r="E68" s="12"/>
      <c r="F68" s="12"/>
      <c r="G68" s="12"/>
      <c r="H68" s="12"/>
      <c r="I68" s="12"/>
      <c r="J68" s="12"/>
      <c r="K68" s="12"/>
      <c r="L68" s="13"/>
      <c r="M68" s="14"/>
      <c r="N68" s="9"/>
      <c r="O68" s="9"/>
      <c r="P68" s="9"/>
      <c r="R68" s="367"/>
    </row>
    <row r="69" spans="1:18" s="8" customFormat="1" ht="28" customHeight="1">
      <c r="A69" s="10"/>
      <c r="B69" s="10"/>
      <c r="C69" s="10"/>
      <c r="D69" s="11"/>
      <c r="E69" s="12"/>
      <c r="F69" s="12"/>
      <c r="G69" s="12"/>
      <c r="H69" s="12"/>
      <c r="I69" s="12"/>
      <c r="J69" s="12"/>
      <c r="K69" s="12"/>
      <c r="L69" s="13"/>
      <c r="M69" s="14"/>
      <c r="N69" s="9"/>
      <c r="O69" s="9"/>
      <c r="P69" s="9"/>
      <c r="R69" s="367"/>
    </row>
    <row r="70" spans="1:18" s="8" customFormat="1" ht="28" customHeight="1">
      <c r="A70" s="10"/>
      <c r="B70" s="10"/>
      <c r="C70" s="10"/>
      <c r="D70" s="11"/>
      <c r="E70" s="12"/>
      <c r="F70" s="12"/>
      <c r="G70" s="12"/>
      <c r="H70" s="12"/>
      <c r="I70" s="12"/>
      <c r="J70" s="12"/>
      <c r="K70" s="12"/>
      <c r="L70" s="13"/>
      <c r="M70" s="14"/>
      <c r="N70" s="9"/>
      <c r="O70" s="9"/>
      <c r="P70" s="9"/>
      <c r="R70" s="367"/>
    </row>
    <row r="71" spans="1:18" s="8" customFormat="1" ht="28" customHeight="1">
      <c r="A71" s="10"/>
      <c r="B71" s="10"/>
      <c r="C71" s="10"/>
      <c r="D71" s="11"/>
      <c r="E71" s="12"/>
      <c r="F71" s="12"/>
      <c r="G71" s="12"/>
      <c r="H71" s="12"/>
      <c r="I71" s="12"/>
      <c r="J71" s="12"/>
      <c r="K71" s="12"/>
      <c r="L71" s="13"/>
      <c r="M71" s="14"/>
      <c r="N71" s="9"/>
      <c r="O71" s="9"/>
      <c r="P71" s="9"/>
      <c r="R71" s="367"/>
    </row>
    <row r="72" spans="1:18" s="8" customFormat="1" ht="28" customHeight="1">
      <c r="A72" s="10"/>
      <c r="B72" s="10"/>
      <c r="C72" s="10"/>
      <c r="D72" s="11"/>
      <c r="E72" s="12"/>
      <c r="F72" s="12"/>
      <c r="G72" s="12"/>
      <c r="H72" s="12"/>
      <c r="I72" s="12"/>
      <c r="J72" s="12"/>
      <c r="K72" s="12"/>
      <c r="L72" s="13"/>
      <c r="M72" s="14"/>
      <c r="N72" s="9"/>
      <c r="O72" s="9"/>
      <c r="P72" s="9"/>
      <c r="R72" s="367"/>
    </row>
    <row r="73" spans="1:18" s="8" customFormat="1" ht="28" customHeight="1">
      <c r="A73" s="10"/>
      <c r="B73" s="10"/>
      <c r="C73" s="10"/>
      <c r="D73" s="11"/>
      <c r="E73" s="12"/>
      <c r="F73" s="12"/>
      <c r="G73" s="12"/>
      <c r="H73" s="12"/>
      <c r="I73" s="12"/>
      <c r="J73" s="12"/>
      <c r="K73" s="12"/>
      <c r="L73" s="13"/>
      <c r="M73" s="14"/>
      <c r="N73" s="9"/>
      <c r="O73" s="9"/>
      <c r="P73" s="9"/>
      <c r="R73" s="367"/>
    </row>
    <row r="74" spans="1:18" s="8" customFormat="1" ht="28" customHeight="1">
      <c r="A74" s="10"/>
      <c r="B74" s="10"/>
      <c r="C74" s="10"/>
      <c r="D74" s="11"/>
      <c r="E74" s="12"/>
      <c r="F74" s="12"/>
      <c r="G74" s="12"/>
      <c r="H74" s="12"/>
      <c r="I74" s="12"/>
      <c r="J74" s="12"/>
      <c r="K74" s="12"/>
      <c r="L74" s="13"/>
      <c r="M74" s="14"/>
      <c r="N74" s="9"/>
      <c r="O74" s="9"/>
      <c r="P74" s="9"/>
      <c r="R74" s="367"/>
    </row>
    <row r="75" spans="1:18" s="8" customFormat="1" ht="28" customHeight="1">
      <c r="A75" s="10"/>
      <c r="B75" s="10"/>
      <c r="C75" s="10"/>
      <c r="D75" s="11"/>
      <c r="E75" s="12"/>
      <c r="F75" s="12"/>
      <c r="G75" s="12"/>
      <c r="H75" s="12"/>
      <c r="I75" s="12"/>
      <c r="J75" s="12"/>
      <c r="K75" s="12"/>
      <c r="L75" s="13"/>
      <c r="M75" s="14"/>
      <c r="N75" s="9"/>
      <c r="O75" s="9"/>
      <c r="P75" s="9"/>
      <c r="R75" s="367"/>
    </row>
    <row r="76" spans="1:18" s="8" customFormat="1" ht="28" customHeight="1">
      <c r="A76" s="10"/>
      <c r="B76" s="10"/>
      <c r="C76" s="10"/>
      <c r="D76" s="11"/>
      <c r="E76" s="12"/>
      <c r="F76" s="12"/>
      <c r="G76" s="12"/>
      <c r="H76" s="12"/>
      <c r="I76" s="12"/>
      <c r="J76" s="12"/>
      <c r="K76" s="12"/>
      <c r="L76" s="13"/>
      <c r="M76" s="14"/>
      <c r="N76" s="9"/>
      <c r="O76" s="9"/>
      <c r="P76" s="9"/>
      <c r="R76" s="367"/>
    </row>
    <row r="77" spans="1:18" s="8" customFormat="1" ht="28" customHeight="1">
      <c r="A77" s="10"/>
      <c r="B77" s="10"/>
      <c r="C77" s="10"/>
      <c r="D77" s="11"/>
      <c r="E77" s="12"/>
      <c r="F77" s="12"/>
      <c r="G77" s="12"/>
      <c r="H77" s="12"/>
      <c r="I77" s="12"/>
      <c r="J77" s="12"/>
      <c r="K77" s="12"/>
      <c r="L77" s="13"/>
      <c r="M77" s="14"/>
      <c r="N77" s="9"/>
      <c r="O77" s="9"/>
      <c r="P77" s="9"/>
      <c r="R77" s="367"/>
    </row>
    <row r="78" spans="1:18" s="8" customFormat="1" ht="28" customHeight="1">
      <c r="A78" s="10"/>
      <c r="B78" s="10"/>
      <c r="C78" s="10"/>
      <c r="D78" s="11"/>
      <c r="E78" s="12"/>
      <c r="F78" s="12"/>
      <c r="G78" s="12"/>
      <c r="H78" s="12"/>
      <c r="I78" s="12"/>
      <c r="J78" s="12"/>
      <c r="K78" s="12"/>
      <c r="L78" s="13"/>
      <c r="M78" s="14"/>
      <c r="N78" s="9"/>
      <c r="O78" s="9"/>
      <c r="P78" s="9"/>
      <c r="R78" s="367"/>
    </row>
    <row r="79" spans="1:18" s="8" customFormat="1" ht="28" customHeight="1">
      <c r="A79" s="10"/>
      <c r="B79" s="10"/>
      <c r="C79" s="10"/>
      <c r="D79" s="11"/>
      <c r="E79" s="12"/>
      <c r="F79" s="12"/>
      <c r="G79" s="12"/>
      <c r="H79" s="12"/>
      <c r="I79" s="12"/>
      <c r="J79" s="12"/>
      <c r="K79" s="12"/>
      <c r="L79" s="13"/>
      <c r="M79" s="14"/>
      <c r="N79" s="9"/>
      <c r="O79" s="9"/>
      <c r="P79" s="9"/>
      <c r="R79" s="367"/>
    </row>
    <row r="80" spans="1:18" ht="14"/>
    <row r="81" ht="14"/>
    <row r="82" ht="14"/>
    <row r="83" ht="14"/>
    <row r="84" ht="14"/>
    <row r="85" ht="14"/>
    <row r="86" ht="14"/>
    <row r="87" ht="14"/>
    <row r="88" ht="14"/>
    <row r="89" ht="14"/>
    <row r="90" ht="14"/>
  </sheetData>
  <autoFilter ref="A1:R53" xr:uid="{00000000-0001-0000-0B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68">
    <mergeCell ref="S35:S36"/>
    <mergeCell ref="S18:S19"/>
    <mergeCell ref="S2:S3"/>
    <mergeCell ref="S4:S5"/>
    <mergeCell ref="Q2:Q3"/>
    <mergeCell ref="R2:R3"/>
    <mergeCell ref="Q35:Q36"/>
    <mergeCell ref="R33:R34"/>
    <mergeCell ref="R18:R19"/>
    <mergeCell ref="R12:R14"/>
    <mergeCell ref="R4:R5"/>
    <mergeCell ref="R7:R8"/>
    <mergeCell ref="R9:R10"/>
    <mergeCell ref="R35:R36"/>
    <mergeCell ref="S7:S8"/>
    <mergeCell ref="S9:S10"/>
    <mergeCell ref="S12:S14"/>
    <mergeCell ref="S33:S34"/>
    <mergeCell ref="A2:A3"/>
    <mergeCell ref="B2:B3"/>
    <mergeCell ref="C2:C3"/>
    <mergeCell ref="D2:K2"/>
    <mergeCell ref="L2:P2"/>
    <mergeCell ref="A33:A34"/>
    <mergeCell ref="L35:L36"/>
    <mergeCell ref="M35:M36"/>
    <mergeCell ref="K18:K19"/>
    <mergeCell ref="A1:Q1"/>
    <mergeCell ref="A40:B40"/>
    <mergeCell ref="C40:P40"/>
    <mergeCell ref="Q12:Q14"/>
    <mergeCell ref="Q18:Q19"/>
    <mergeCell ref="Q4:Q5"/>
    <mergeCell ref="Q7:Q8"/>
    <mergeCell ref="Q9:Q10"/>
    <mergeCell ref="Q33:Q34"/>
    <mergeCell ref="B33:B34"/>
    <mergeCell ref="B35:B36"/>
    <mergeCell ref="B4:B5"/>
    <mergeCell ref="B7:B8"/>
    <mergeCell ref="A35:A36"/>
    <mergeCell ref="K4:K5"/>
    <mergeCell ref="K7:K8"/>
    <mergeCell ref="K9:K10"/>
    <mergeCell ref="K12:K14"/>
    <mergeCell ref="K35:K36"/>
    <mergeCell ref="B9:B10"/>
    <mergeCell ref="B12:B14"/>
    <mergeCell ref="B18:B19"/>
    <mergeCell ref="A4:A5"/>
    <mergeCell ref="A7:A8"/>
    <mergeCell ref="A9:A10"/>
    <mergeCell ref="A12:A14"/>
    <mergeCell ref="A18:A19"/>
    <mergeCell ref="C48:P48"/>
    <mergeCell ref="C49:P49"/>
    <mergeCell ref="C50:P50"/>
    <mergeCell ref="C51:P51"/>
    <mergeCell ref="A53:P53"/>
    <mergeCell ref="A52:Q52"/>
    <mergeCell ref="A41:B51"/>
    <mergeCell ref="C43:P43"/>
    <mergeCell ref="C44:P44"/>
    <mergeCell ref="C45:P45"/>
    <mergeCell ref="C46:P46"/>
    <mergeCell ref="C47:P47"/>
    <mergeCell ref="C42:P42"/>
    <mergeCell ref="C41:P41"/>
  </mergeCells>
  <phoneticPr fontId="22" type="noConversion"/>
  <conditionalFormatting sqref="J4">
    <cfRule type="expression" dxfId="33" priority="41">
      <formula>I4=""</formula>
    </cfRule>
  </conditionalFormatting>
  <conditionalFormatting sqref="J7">
    <cfRule type="expression" dxfId="32" priority="7">
      <formula>I7=""</formula>
    </cfRule>
  </conditionalFormatting>
  <conditionalFormatting sqref="J18">
    <cfRule type="expression" dxfId="31" priority="12">
      <formula>I18=""</formula>
    </cfRule>
  </conditionalFormatting>
  <conditionalFormatting sqref="K4:K8">
    <cfRule type="expression" dxfId="30" priority="1">
      <formula>J4=""</formula>
    </cfRule>
  </conditionalFormatting>
  <conditionalFormatting sqref="K18:K19">
    <cfRule type="expression" dxfId="29" priority="11">
      <formula>J18=""</formula>
    </cfRule>
  </conditionalFormatting>
  <conditionalFormatting sqref="L4:M4">
    <cfRule type="expression" dxfId="28" priority="3">
      <formula>J4=""</formula>
    </cfRule>
  </conditionalFormatting>
  <conditionalFormatting sqref="L7:M7">
    <cfRule type="expression" dxfId="27" priority="9">
      <formula>J7=""</formula>
    </cfRule>
  </conditionalFormatting>
  <conditionalFormatting sqref="L18:M18">
    <cfRule type="expression" dxfId="26" priority="13">
      <formula>J18=""</formula>
    </cfRule>
  </conditionalFormatting>
  <conditionalFormatting sqref="N4">
    <cfRule type="expression" dxfId="25" priority="2">
      <formula>M4=""</formula>
    </cfRule>
  </conditionalFormatting>
  <conditionalFormatting sqref="N6 N8 N10 N12 N14 N16 N18 N20 N22 N24 N26 N28 N30 N32 N34 N36 N38">
    <cfRule type="expression" dxfId="24" priority="14">
      <formula>M6=""</formula>
    </cfRule>
  </conditionalFormatting>
  <conditionalFormatting sqref="O4:P38">
    <cfRule type="expression" dxfId="23" priority="16">
      <formula>#REF!=""</formula>
    </cfRule>
  </conditionalFormatting>
  <conditionalFormatting sqref="Q4:Q8">
    <cfRule type="expression" dxfId="22" priority="29">
      <formula>#REF!=""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9F4D-BC53-4E79-85FE-6141172F73E3}">
  <dimension ref="A1:U94"/>
  <sheetViews>
    <sheetView workbookViewId="0">
      <pane ySplit="1" topLeftCell="A28" activePane="bottomLeft" state="frozen"/>
      <selection pane="bottomLeft" activeCell="S47" sqref="S47"/>
    </sheetView>
  </sheetViews>
  <sheetFormatPr defaultColWidth="8.6640625" defaultRowHeight="28" customHeight="1"/>
  <cols>
    <col min="1" max="1" width="4.75" style="10" customWidth="1"/>
    <col min="2" max="2" width="26.5" style="10" bestFit="1" customWidth="1"/>
    <col min="3" max="3" width="7.33203125" style="10" bestFit="1" customWidth="1"/>
    <col min="4" max="4" width="9.33203125" style="11" bestFit="1" customWidth="1"/>
    <col min="5" max="6" width="9.33203125" style="12" bestFit="1" customWidth="1"/>
    <col min="7" max="7" width="5.33203125" style="12" bestFit="1" customWidth="1"/>
    <col min="8" max="8" width="7.33203125" style="12" bestFit="1" customWidth="1"/>
    <col min="9" max="9" width="7.08203125" style="12" bestFit="1" customWidth="1"/>
    <col min="10" max="11" width="12.1640625" style="12" bestFit="1" customWidth="1"/>
    <col min="12" max="12" width="10" style="13" hidden="1" customWidth="1"/>
    <col min="13" max="13" width="10" style="14" hidden="1" customWidth="1"/>
    <col min="14" max="14" width="9.4140625" style="9" hidden="1" customWidth="1"/>
    <col min="15" max="15" width="7.08203125" style="9" hidden="1" customWidth="1"/>
    <col min="16" max="16" width="10" style="9" hidden="1" customWidth="1"/>
    <col min="17" max="17" width="11.83203125" style="9" bestFit="1" customWidth="1"/>
    <col min="18" max="18" width="12.4140625" style="8" bestFit="1" customWidth="1"/>
    <col min="19" max="19" width="14.58203125" style="352" customWidth="1"/>
    <col min="20" max="20" width="11.5" style="9" bestFit="1" customWidth="1"/>
    <col min="21" max="16384" width="8.6640625" style="9"/>
  </cols>
  <sheetData>
    <row r="1" spans="1:21" ht="36" customHeight="1" thickBot="1">
      <c r="A1" s="474" t="s">
        <v>222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347"/>
    </row>
    <row r="2" spans="1:21" ht="32.15" customHeight="1" thickBot="1">
      <c r="A2" s="489" t="s">
        <v>1</v>
      </c>
      <c r="B2" s="491" t="s">
        <v>210</v>
      </c>
      <c r="C2" s="491" t="s">
        <v>211</v>
      </c>
      <c r="D2" s="493" t="s">
        <v>201</v>
      </c>
      <c r="E2" s="494"/>
      <c r="F2" s="494"/>
      <c r="G2" s="494"/>
      <c r="H2" s="494"/>
      <c r="I2" s="494"/>
      <c r="J2" s="494"/>
      <c r="K2" s="495"/>
      <c r="L2" s="496" t="s">
        <v>202</v>
      </c>
      <c r="M2" s="497"/>
      <c r="N2" s="497"/>
      <c r="O2" s="497"/>
      <c r="P2" s="498"/>
      <c r="Q2" s="642" t="s">
        <v>226</v>
      </c>
      <c r="R2" s="503" t="s">
        <v>13</v>
      </c>
      <c r="S2" s="505" t="s">
        <v>14</v>
      </c>
    </row>
    <row r="3" spans="1:21" s="1" customFormat="1" ht="30" customHeight="1" thickBot="1">
      <c r="A3" s="490"/>
      <c r="B3" s="492"/>
      <c r="C3" s="492"/>
      <c r="D3" s="16" t="s">
        <v>4</v>
      </c>
      <c r="E3" s="354" t="s">
        <v>205</v>
      </c>
      <c r="F3" s="354" t="s">
        <v>206</v>
      </c>
      <c r="G3" s="15" t="s">
        <v>7</v>
      </c>
      <c r="H3" s="15" t="s">
        <v>8</v>
      </c>
      <c r="I3" s="15" t="s">
        <v>9</v>
      </c>
      <c r="J3" s="354" t="s">
        <v>207</v>
      </c>
      <c r="K3" s="354" t="s">
        <v>208</v>
      </c>
      <c r="L3" s="355" t="s">
        <v>203</v>
      </c>
      <c r="M3" s="355" t="s">
        <v>204</v>
      </c>
      <c r="N3" s="15" t="s">
        <v>195</v>
      </c>
      <c r="O3" s="354" t="s">
        <v>209</v>
      </c>
      <c r="P3" s="354" t="s">
        <v>208</v>
      </c>
      <c r="Q3" s="643"/>
      <c r="R3" s="504"/>
      <c r="S3" s="506"/>
    </row>
    <row r="4" spans="1:21" s="2" customFormat="1" ht="30" customHeight="1" thickBot="1">
      <c r="A4" s="466">
        <v>1</v>
      </c>
      <c r="B4" s="484" t="s">
        <v>15</v>
      </c>
      <c r="C4" s="259" t="s">
        <v>16</v>
      </c>
      <c r="D4" s="260">
        <v>135407</v>
      </c>
      <c r="E4" s="261">
        <v>1622.2</v>
      </c>
      <c r="F4" s="261">
        <v>1606.4</v>
      </c>
      <c r="G4" s="261">
        <v>60</v>
      </c>
      <c r="H4" s="261">
        <f t="shared" ref="H4:H35" si="0">(E4-F4)*G4</f>
        <v>947.99999999999727</v>
      </c>
      <c r="I4" s="262">
        <v>1.1000000000000001</v>
      </c>
      <c r="J4" s="262">
        <f t="shared" ref="J4:J35" si="1">H4*I4</f>
        <v>1042.799999999997</v>
      </c>
      <c r="K4" s="457">
        <f>J4+J5</f>
        <v>1438.799999999997</v>
      </c>
      <c r="L4" s="264">
        <v>146</v>
      </c>
      <c r="M4" s="264">
        <v>146</v>
      </c>
      <c r="N4" s="265">
        <f t="shared" ref="N4:N42" si="2">M4-L4</f>
        <v>0</v>
      </c>
      <c r="O4" s="266">
        <v>4.4000000000000004</v>
      </c>
      <c r="P4" s="266">
        <f t="shared" ref="P4:P42" si="3">O4*N4</f>
        <v>0</v>
      </c>
      <c r="Q4" s="641">
        <v>8794.5000000000018</v>
      </c>
      <c r="R4" s="457">
        <f>K4+P4+P5+Q4</f>
        <v>10233.299999999999</v>
      </c>
      <c r="S4" s="639">
        <v>10233</v>
      </c>
    </row>
    <row r="5" spans="1:21" s="3" customFormat="1" ht="30" customHeight="1">
      <c r="A5" s="456"/>
      <c r="B5" s="483"/>
      <c r="C5" s="267" t="s">
        <v>17</v>
      </c>
      <c r="D5" s="268">
        <v>222933</v>
      </c>
      <c r="E5" s="269">
        <v>15176</v>
      </c>
      <c r="F5" s="269">
        <v>14816</v>
      </c>
      <c r="G5" s="269">
        <v>1</v>
      </c>
      <c r="H5" s="269">
        <f t="shared" si="0"/>
        <v>360</v>
      </c>
      <c r="I5" s="270">
        <v>1.1000000000000001</v>
      </c>
      <c r="J5" s="270">
        <f t="shared" si="1"/>
        <v>396.00000000000006</v>
      </c>
      <c r="K5" s="458"/>
      <c r="L5" s="272">
        <v>325</v>
      </c>
      <c r="M5" s="272">
        <v>325</v>
      </c>
      <c r="N5" s="273">
        <f t="shared" si="2"/>
        <v>0</v>
      </c>
      <c r="O5" s="274">
        <v>4.4000000000000004</v>
      </c>
      <c r="P5" s="274">
        <f t="shared" si="3"/>
        <v>0</v>
      </c>
      <c r="Q5" s="630"/>
      <c r="R5" s="458"/>
      <c r="S5" s="640"/>
    </row>
    <row r="6" spans="1:21" s="4" customFormat="1" ht="30" customHeight="1">
      <c r="A6" s="275">
        <v>2</v>
      </c>
      <c r="B6" s="276" t="s">
        <v>18</v>
      </c>
      <c r="C6" s="276" t="s">
        <v>16</v>
      </c>
      <c r="D6" s="277">
        <v>135406</v>
      </c>
      <c r="E6" s="278">
        <v>704.4</v>
      </c>
      <c r="F6" s="278">
        <v>684.5</v>
      </c>
      <c r="G6" s="278">
        <v>40</v>
      </c>
      <c r="H6" s="278">
        <f t="shared" si="0"/>
        <v>795.99999999999909</v>
      </c>
      <c r="I6" s="279">
        <v>1.1000000000000001</v>
      </c>
      <c r="J6" s="279">
        <f t="shared" si="1"/>
        <v>875.59999999999911</v>
      </c>
      <c r="K6" s="279">
        <f>J6</f>
        <v>875.59999999999911</v>
      </c>
      <c r="L6" s="281">
        <v>239</v>
      </c>
      <c r="M6" s="281">
        <v>239</v>
      </c>
      <c r="N6" s="282">
        <f t="shared" si="2"/>
        <v>0</v>
      </c>
      <c r="O6" s="283">
        <v>4.4000000000000004</v>
      </c>
      <c r="P6" s="283">
        <f t="shared" si="3"/>
        <v>0</v>
      </c>
      <c r="Q6" s="283">
        <v>3159.1999999999985</v>
      </c>
      <c r="R6" s="279">
        <f>K6+P6+Q6</f>
        <v>4034.7999999999975</v>
      </c>
      <c r="S6" s="357">
        <v>4034</v>
      </c>
    </row>
    <row r="7" spans="1:21" s="2" customFormat="1" ht="30" customHeight="1" thickBot="1">
      <c r="A7" s="455">
        <v>3</v>
      </c>
      <c r="B7" s="482" t="s">
        <v>20</v>
      </c>
      <c r="C7" s="284" t="s">
        <v>16</v>
      </c>
      <c r="D7" s="285">
        <v>135400</v>
      </c>
      <c r="E7" s="286">
        <v>16.600000000000001</v>
      </c>
      <c r="F7" s="286">
        <v>16.2</v>
      </c>
      <c r="G7" s="286">
        <v>40</v>
      </c>
      <c r="H7" s="286">
        <f t="shared" si="0"/>
        <v>16.000000000000085</v>
      </c>
      <c r="I7" s="287">
        <v>1.1000000000000001</v>
      </c>
      <c r="J7" s="287">
        <f t="shared" si="1"/>
        <v>17.600000000000094</v>
      </c>
      <c r="K7" s="459">
        <f>J7+J8</f>
        <v>47.300000000000097</v>
      </c>
      <c r="L7" s="289">
        <v>79</v>
      </c>
      <c r="M7" s="289">
        <v>79</v>
      </c>
      <c r="N7" s="290">
        <f t="shared" si="2"/>
        <v>0</v>
      </c>
      <c r="O7" s="291">
        <v>4.4000000000000004</v>
      </c>
      <c r="P7" s="291">
        <f t="shared" si="3"/>
        <v>0</v>
      </c>
      <c r="Q7" s="629">
        <v>215.6</v>
      </c>
      <c r="R7" s="459">
        <f>K7+P7+P8+Q7</f>
        <v>262.90000000000009</v>
      </c>
      <c r="S7" s="516">
        <v>262.89999999999998</v>
      </c>
    </row>
    <row r="8" spans="1:21" s="3" customFormat="1" ht="30" customHeight="1">
      <c r="A8" s="456"/>
      <c r="B8" s="483"/>
      <c r="C8" s="267" t="s">
        <v>17</v>
      </c>
      <c r="D8" s="268" t="s">
        <v>85</v>
      </c>
      <c r="E8" s="269">
        <v>980</v>
      </c>
      <c r="F8" s="269">
        <v>953</v>
      </c>
      <c r="G8" s="269">
        <v>1</v>
      </c>
      <c r="H8" s="269">
        <f t="shared" si="0"/>
        <v>27</v>
      </c>
      <c r="I8" s="270">
        <v>1.1000000000000001</v>
      </c>
      <c r="J8" s="270">
        <f t="shared" si="1"/>
        <v>29.700000000000003</v>
      </c>
      <c r="K8" s="458"/>
      <c r="L8" s="272">
        <v>38</v>
      </c>
      <c r="M8" s="272">
        <v>38</v>
      </c>
      <c r="N8" s="273">
        <f t="shared" si="2"/>
        <v>0</v>
      </c>
      <c r="O8" s="274">
        <v>4.4000000000000004</v>
      </c>
      <c r="P8" s="274">
        <f t="shared" si="3"/>
        <v>0</v>
      </c>
      <c r="Q8" s="630"/>
      <c r="R8" s="458"/>
      <c r="S8" s="515"/>
    </row>
    <row r="9" spans="1:21" s="5" customFormat="1" ht="30" customHeight="1" thickBot="1">
      <c r="A9" s="621">
        <v>4</v>
      </c>
      <c r="B9" s="623" t="s">
        <v>22</v>
      </c>
      <c r="C9" s="292" t="s">
        <v>16</v>
      </c>
      <c r="D9" s="293">
        <v>135405</v>
      </c>
      <c r="E9" s="294">
        <v>552.5</v>
      </c>
      <c r="F9" s="294">
        <v>544.4</v>
      </c>
      <c r="G9" s="294">
        <v>40</v>
      </c>
      <c r="H9" s="294">
        <f t="shared" si="0"/>
        <v>324.00000000000091</v>
      </c>
      <c r="I9" s="295">
        <v>1.1000000000000001</v>
      </c>
      <c r="J9" s="295">
        <f t="shared" si="1"/>
        <v>356.40000000000106</v>
      </c>
      <c r="K9" s="631">
        <f>J9+J10+J11+J12+J13</f>
        <v>1035.1000000000008</v>
      </c>
      <c r="L9" s="297">
        <v>262</v>
      </c>
      <c r="M9" s="297">
        <v>262</v>
      </c>
      <c r="N9" s="298">
        <f t="shared" si="2"/>
        <v>0</v>
      </c>
      <c r="O9" s="299">
        <v>4.4000000000000004</v>
      </c>
      <c r="P9" s="299">
        <f t="shared" si="3"/>
        <v>0</v>
      </c>
      <c r="Q9" s="631">
        <v>1889.8</v>
      </c>
      <c r="R9" s="625">
        <f>K9+P9+P10+Q9</f>
        <v>2924.9000000000005</v>
      </c>
      <c r="S9" s="511">
        <v>2925</v>
      </c>
    </row>
    <row r="10" spans="1:21" s="4" customFormat="1" ht="30" customHeight="1" thickBot="1">
      <c r="A10" s="636"/>
      <c r="B10" s="637"/>
      <c r="C10" s="300" t="s">
        <v>17</v>
      </c>
      <c r="D10" s="301" t="s">
        <v>85</v>
      </c>
      <c r="E10" s="302">
        <v>256</v>
      </c>
      <c r="F10" s="302">
        <v>242</v>
      </c>
      <c r="G10" s="302">
        <v>1</v>
      </c>
      <c r="H10" s="302">
        <f t="shared" si="0"/>
        <v>14</v>
      </c>
      <c r="I10" s="303">
        <v>1.1000000000000001</v>
      </c>
      <c r="J10" s="303">
        <f t="shared" si="1"/>
        <v>15.400000000000002</v>
      </c>
      <c r="K10" s="635"/>
      <c r="L10" s="305"/>
      <c r="M10" s="305"/>
      <c r="N10" s="306">
        <f t="shared" si="2"/>
        <v>0</v>
      </c>
      <c r="O10" s="307">
        <v>4.4000000000000004</v>
      </c>
      <c r="P10" s="307">
        <f t="shared" si="3"/>
        <v>0</v>
      </c>
      <c r="Q10" s="635"/>
      <c r="R10" s="638"/>
      <c r="S10" s="512"/>
    </row>
    <row r="11" spans="1:21" s="4" customFormat="1" ht="30" customHeight="1" thickBot="1">
      <c r="A11" s="636"/>
      <c r="B11" s="637"/>
      <c r="C11" s="276" t="s">
        <v>223</v>
      </c>
      <c r="D11" s="301" t="s">
        <v>85</v>
      </c>
      <c r="E11" s="278">
        <v>1535</v>
      </c>
      <c r="F11" s="278">
        <v>1109</v>
      </c>
      <c r="G11" s="278">
        <v>1</v>
      </c>
      <c r="H11" s="278">
        <f t="shared" si="0"/>
        <v>426</v>
      </c>
      <c r="I11" s="303">
        <v>1.1000000000000001</v>
      </c>
      <c r="J11" s="303">
        <f t="shared" si="1"/>
        <v>468.6</v>
      </c>
      <c r="K11" s="635"/>
      <c r="L11" s="281"/>
      <c r="M11" s="281"/>
      <c r="N11" s="282"/>
      <c r="O11" s="283"/>
      <c r="P11" s="283"/>
      <c r="Q11" s="635"/>
      <c r="R11" s="638"/>
      <c r="S11" s="512"/>
    </row>
    <row r="12" spans="1:21" s="4" customFormat="1" ht="30" customHeight="1" thickBot="1">
      <c r="A12" s="636"/>
      <c r="B12" s="637"/>
      <c r="C12" s="276" t="s">
        <v>224</v>
      </c>
      <c r="D12" s="301" t="s">
        <v>85</v>
      </c>
      <c r="E12" s="278">
        <v>4199</v>
      </c>
      <c r="F12" s="278">
        <v>4023</v>
      </c>
      <c r="G12" s="278">
        <v>1</v>
      </c>
      <c r="H12" s="278">
        <f t="shared" si="0"/>
        <v>176</v>
      </c>
      <c r="I12" s="303">
        <v>1.1000000000000001</v>
      </c>
      <c r="J12" s="303">
        <f t="shared" si="1"/>
        <v>193.60000000000002</v>
      </c>
      <c r="K12" s="635"/>
      <c r="L12" s="281"/>
      <c r="M12" s="281"/>
      <c r="N12" s="282"/>
      <c r="O12" s="283"/>
      <c r="P12" s="283"/>
      <c r="Q12" s="635"/>
      <c r="R12" s="638"/>
      <c r="S12" s="512"/>
      <c r="U12" s="5"/>
    </row>
    <row r="13" spans="1:21" s="4" customFormat="1" ht="30" customHeight="1">
      <c r="A13" s="622"/>
      <c r="B13" s="624"/>
      <c r="C13" s="276" t="s">
        <v>225</v>
      </c>
      <c r="D13" s="301" t="s">
        <v>85</v>
      </c>
      <c r="E13" s="278">
        <v>6111</v>
      </c>
      <c r="F13" s="278">
        <v>6110</v>
      </c>
      <c r="G13" s="278">
        <v>1</v>
      </c>
      <c r="H13" s="278">
        <f t="shared" si="0"/>
        <v>1</v>
      </c>
      <c r="I13" s="303">
        <v>1.1000000000000001</v>
      </c>
      <c r="J13" s="303">
        <f t="shared" si="1"/>
        <v>1.1000000000000001</v>
      </c>
      <c r="K13" s="632"/>
      <c r="L13" s="281"/>
      <c r="M13" s="281"/>
      <c r="N13" s="282"/>
      <c r="O13" s="283"/>
      <c r="P13" s="283"/>
      <c r="Q13" s="632"/>
      <c r="R13" s="626"/>
      <c r="S13" s="513"/>
    </row>
    <row r="14" spans="1:21" s="3" customFormat="1" ht="30" customHeight="1">
      <c r="A14" s="308">
        <v>5</v>
      </c>
      <c r="B14" s="309" t="s">
        <v>23</v>
      </c>
      <c r="C14" s="309" t="s">
        <v>16</v>
      </c>
      <c r="D14" s="310">
        <v>135401</v>
      </c>
      <c r="E14" s="311">
        <v>109.9</v>
      </c>
      <c r="F14" s="311">
        <v>105.9</v>
      </c>
      <c r="G14" s="311">
        <v>20</v>
      </c>
      <c r="H14" s="311">
        <f t="shared" si="0"/>
        <v>80</v>
      </c>
      <c r="I14" s="312">
        <v>1.1000000000000001</v>
      </c>
      <c r="J14" s="312">
        <f t="shared" si="1"/>
        <v>88</v>
      </c>
      <c r="K14" s="312">
        <f>J14</f>
        <v>88</v>
      </c>
      <c r="L14" s="314">
        <v>11</v>
      </c>
      <c r="M14" s="314">
        <v>11</v>
      </c>
      <c r="N14" s="315">
        <f t="shared" si="2"/>
        <v>0</v>
      </c>
      <c r="O14" s="316">
        <v>4.4000000000000004</v>
      </c>
      <c r="P14" s="316">
        <f t="shared" si="3"/>
        <v>0</v>
      </c>
      <c r="Q14" s="316">
        <v>0</v>
      </c>
      <c r="R14" s="312">
        <f>K14+P14</f>
        <v>88</v>
      </c>
      <c r="S14" s="357">
        <v>88</v>
      </c>
    </row>
    <row r="15" spans="1:21" s="5" customFormat="1" ht="30" customHeight="1" thickBot="1">
      <c r="A15" s="467">
        <v>6</v>
      </c>
      <c r="B15" s="463" t="s">
        <v>24</v>
      </c>
      <c r="C15" s="292" t="s">
        <v>25</v>
      </c>
      <c r="D15" s="293">
        <v>135402</v>
      </c>
      <c r="E15" s="294">
        <v>953.7</v>
      </c>
      <c r="F15" s="294">
        <v>919.8</v>
      </c>
      <c r="G15" s="294">
        <v>20</v>
      </c>
      <c r="H15" s="294">
        <f t="shared" si="0"/>
        <v>678.00000000000182</v>
      </c>
      <c r="I15" s="295">
        <v>1.1000000000000001</v>
      </c>
      <c r="J15" s="295">
        <f t="shared" si="1"/>
        <v>745.80000000000211</v>
      </c>
      <c r="K15" s="460">
        <f>J15+J16+J17</f>
        <v>1128.600000000002</v>
      </c>
      <c r="L15" s="297">
        <v>283</v>
      </c>
      <c r="M15" s="297">
        <v>283</v>
      </c>
      <c r="N15" s="298">
        <f t="shared" si="2"/>
        <v>0</v>
      </c>
      <c r="O15" s="299">
        <v>4.4000000000000004</v>
      </c>
      <c r="P15" s="299">
        <f t="shared" si="3"/>
        <v>0</v>
      </c>
      <c r="Q15" s="631">
        <v>0</v>
      </c>
      <c r="R15" s="460">
        <f>K15+P15+P16+P17</f>
        <v>1128.600000000002</v>
      </c>
      <c r="S15" s="511">
        <v>1128</v>
      </c>
    </row>
    <row r="16" spans="1:21" s="5" customFormat="1" ht="30" customHeight="1" thickBot="1">
      <c r="A16" s="469"/>
      <c r="B16" s="465"/>
      <c r="C16" s="317" t="s">
        <v>26</v>
      </c>
      <c r="D16" s="318">
        <v>135408</v>
      </c>
      <c r="E16" s="319">
        <v>323.10000000000002</v>
      </c>
      <c r="F16" s="319">
        <v>323.10000000000002</v>
      </c>
      <c r="G16" s="319">
        <v>40</v>
      </c>
      <c r="H16" s="319">
        <f t="shared" si="0"/>
        <v>0</v>
      </c>
      <c r="I16" s="320">
        <v>1.1000000000000001</v>
      </c>
      <c r="J16" s="320">
        <f t="shared" si="1"/>
        <v>0</v>
      </c>
      <c r="K16" s="462"/>
      <c r="L16" s="322"/>
      <c r="M16" s="322"/>
      <c r="N16" s="323">
        <f t="shared" si="2"/>
        <v>0</v>
      </c>
      <c r="O16" s="324">
        <v>4.4000000000000004</v>
      </c>
      <c r="P16" s="324">
        <f t="shared" si="3"/>
        <v>0</v>
      </c>
      <c r="Q16" s="635"/>
      <c r="R16" s="462"/>
      <c r="S16" s="512"/>
    </row>
    <row r="17" spans="1:19" s="4" customFormat="1" ht="30" customHeight="1">
      <c r="A17" s="468"/>
      <c r="B17" s="464"/>
      <c r="C17" s="300" t="s">
        <v>166</v>
      </c>
      <c r="D17" s="301" t="s">
        <v>167</v>
      </c>
      <c r="E17" s="302">
        <v>43.3</v>
      </c>
      <c r="F17" s="302">
        <v>34.6</v>
      </c>
      <c r="G17" s="302">
        <v>40</v>
      </c>
      <c r="H17" s="302">
        <f t="shared" si="0"/>
        <v>347.99999999999983</v>
      </c>
      <c r="I17" s="303">
        <v>1.1000000000000001</v>
      </c>
      <c r="J17" s="303">
        <f t="shared" si="1"/>
        <v>382.79999999999984</v>
      </c>
      <c r="K17" s="461"/>
      <c r="L17" s="305"/>
      <c r="M17" s="305"/>
      <c r="N17" s="306">
        <f t="shared" si="2"/>
        <v>0</v>
      </c>
      <c r="O17" s="307">
        <v>4.4000000000000004</v>
      </c>
      <c r="P17" s="307">
        <f t="shared" si="3"/>
        <v>0</v>
      </c>
      <c r="Q17" s="632"/>
      <c r="R17" s="461"/>
      <c r="S17" s="513"/>
    </row>
    <row r="18" spans="1:19" s="3" customFormat="1" ht="30" customHeight="1">
      <c r="A18" s="308">
        <v>7</v>
      </c>
      <c r="B18" s="309" t="s">
        <v>27</v>
      </c>
      <c r="C18" s="309" t="s">
        <v>16</v>
      </c>
      <c r="D18" s="310">
        <v>136866</v>
      </c>
      <c r="E18" s="311">
        <v>288.39999999999998</v>
      </c>
      <c r="F18" s="311">
        <v>284.10000000000002</v>
      </c>
      <c r="G18" s="311">
        <v>20</v>
      </c>
      <c r="H18" s="311">
        <f t="shared" si="0"/>
        <v>85.999999999999091</v>
      </c>
      <c r="I18" s="312">
        <v>1.1000000000000001</v>
      </c>
      <c r="J18" s="312">
        <f t="shared" si="1"/>
        <v>94.599999999999014</v>
      </c>
      <c r="K18" s="312">
        <f>J18</f>
        <v>94.599999999999014</v>
      </c>
      <c r="L18" s="314">
        <v>32</v>
      </c>
      <c r="M18" s="314">
        <v>32</v>
      </c>
      <c r="N18" s="315">
        <f t="shared" si="2"/>
        <v>0</v>
      </c>
      <c r="O18" s="316">
        <v>4.4000000000000004</v>
      </c>
      <c r="P18" s="316">
        <f t="shared" si="3"/>
        <v>0</v>
      </c>
      <c r="Q18" s="316">
        <v>0</v>
      </c>
      <c r="R18" s="312">
        <f>K18+P18</f>
        <v>94.599999999999014</v>
      </c>
      <c r="S18" s="358">
        <v>94.6</v>
      </c>
    </row>
    <row r="19" spans="1:19" s="4" customFormat="1" ht="30" customHeight="1">
      <c r="A19" s="275">
        <v>8</v>
      </c>
      <c r="B19" s="276" t="s">
        <v>28</v>
      </c>
      <c r="C19" s="276" t="s">
        <v>16</v>
      </c>
      <c r="D19" s="277">
        <v>135847</v>
      </c>
      <c r="E19" s="278">
        <v>284.7</v>
      </c>
      <c r="F19" s="278">
        <v>273.89999999999998</v>
      </c>
      <c r="G19" s="278">
        <v>40</v>
      </c>
      <c r="H19" s="278">
        <f t="shared" si="0"/>
        <v>432.00000000000045</v>
      </c>
      <c r="I19" s="279">
        <v>1.1000000000000001</v>
      </c>
      <c r="J19" s="279">
        <f t="shared" si="1"/>
        <v>475.20000000000056</v>
      </c>
      <c r="K19" s="279">
        <f>J19</f>
        <v>475.20000000000056</v>
      </c>
      <c r="L19" s="281">
        <v>91</v>
      </c>
      <c r="M19" s="281">
        <v>91</v>
      </c>
      <c r="N19" s="282">
        <f t="shared" si="2"/>
        <v>0</v>
      </c>
      <c r="O19" s="283">
        <v>4.4000000000000004</v>
      </c>
      <c r="P19" s="283">
        <f t="shared" si="3"/>
        <v>0</v>
      </c>
      <c r="Q19" s="283">
        <v>0</v>
      </c>
      <c r="R19" s="279">
        <f>K19+P19</f>
        <v>475.20000000000056</v>
      </c>
      <c r="S19" s="357">
        <v>475</v>
      </c>
    </row>
    <row r="20" spans="1:19" s="3" customFormat="1" ht="30" customHeight="1">
      <c r="A20" s="308">
        <v>9</v>
      </c>
      <c r="B20" s="309" t="s">
        <v>29</v>
      </c>
      <c r="C20" s="309" t="s">
        <v>16</v>
      </c>
      <c r="D20" s="310">
        <v>135848</v>
      </c>
      <c r="E20" s="311">
        <v>1028.7</v>
      </c>
      <c r="F20" s="311">
        <v>993.6</v>
      </c>
      <c r="G20" s="311">
        <v>40</v>
      </c>
      <c r="H20" s="311">
        <f t="shared" si="0"/>
        <v>1404.0000000000009</v>
      </c>
      <c r="I20" s="312">
        <v>1.1000000000000001</v>
      </c>
      <c r="J20" s="312">
        <f t="shared" si="1"/>
        <v>1544.4000000000012</v>
      </c>
      <c r="K20" s="312">
        <f>J20</f>
        <v>1544.4000000000012</v>
      </c>
      <c r="L20" s="314">
        <v>27</v>
      </c>
      <c r="M20" s="314">
        <v>27</v>
      </c>
      <c r="N20" s="315">
        <f t="shared" si="2"/>
        <v>0</v>
      </c>
      <c r="O20" s="316">
        <v>4.4000000000000004</v>
      </c>
      <c r="P20" s="316">
        <f t="shared" si="3"/>
        <v>0</v>
      </c>
      <c r="Q20" s="316">
        <v>3572.8000000000034</v>
      </c>
      <c r="R20" s="325">
        <f>K20+P20+Q20</f>
        <v>5117.2000000000044</v>
      </c>
      <c r="S20" s="359">
        <v>5117.2</v>
      </c>
    </row>
    <row r="21" spans="1:19" s="5" customFormat="1" ht="30" customHeight="1" thickBot="1">
      <c r="A21" s="467">
        <v>10</v>
      </c>
      <c r="B21" s="463" t="s">
        <v>31</v>
      </c>
      <c r="C21" s="292" t="s">
        <v>16</v>
      </c>
      <c r="D21" s="293">
        <v>135846</v>
      </c>
      <c r="E21" s="294">
        <v>894.6</v>
      </c>
      <c r="F21" s="294">
        <v>876.3</v>
      </c>
      <c r="G21" s="294">
        <v>40</v>
      </c>
      <c r="H21" s="294">
        <f t="shared" si="0"/>
        <v>732.00000000000273</v>
      </c>
      <c r="I21" s="295">
        <v>1.1000000000000001</v>
      </c>
      <c r="J21" s="295">
        <f t="shared" si="1"/>
        <v>805.20000000000312</v>
      </c>
      <c r="K21" s="460">
        <f>J21+J22</f>
        <v>1271.6000000000029</v>
      </c>
      <c r="L21" s="297">
        <v>10</v>
      </c>
      <c r="M21" s="297">
        <v>10</v>
      </c>
      <c r="N21" s="298">
        <f t="shared" si="2"/>
        <v>0</v>
      </c>
      <c r="O21" s="299">
        <v>4.4000000000000004</v>
      </c>
      <c r="P21" s="299">
        <f t="shared" si="3"/>
        <v>0</v>
      </c>
      <c r="Q21" s="631">
        <v>0</v>
      </c>
      <c r="R21" s="479">
        <f>K21+P21+P22</f>
        <v>1271.6000000000029</v>
      </c>
      <c r="S21" s="509">
        <v>1271</v>
      </c>
    </row>
    <row r="22" spans="1:19" s="4" customFormat="1" ht="30" customHeight="1">
      <c r="A22" s="468"/>
      <c r="B22" s="464"/>
      <c r="C22" s="300"/>
      <c r="D22" s="301">
        <v>135379</v>
      </c>
      <c r="E22" s="302">
        <v>71.7</v>
      </c>
      <c r="F22" s="302">
        <v>66.400000000000006</v>
      </c>
      <c r="G22" s="302">
        <v>80</v>
      </c>
      <c r="H22" s="302">
        <f t="shared" si="0"/>
        <v>423.99999999999977</v>
      </c>
      <c r="I22" s="303">
        <v>1.1000000000000001</v>
      </c>
      <c r="J22" s="303">
        <f t="shared" si="1"/>
        <v>466.39999999999981</v>
      </c>
      <c r="K22" s="461"/>
      <c r="L22" s="305"/>
      <c r="M22" s="305"/>
      <c r="N22" s="306">
        <f t="shared" si="2"/>
        <v>0</v>
      </c>
      <c r="O22" s="307">
        <v>4.4000000000000004</v>
      </c>
      <c r="P22" s="307">
        <f t="shared" si="3"/>
        <v>0</v>
      </c>
      <c r="Q22" s="632"/>
      <c r="R22" s="480"/>
      <c r="S22" s="510"/>
    </row>
    <row r="23" spans="1:19" s="258" customFormat="1" ht="30" customHeight="1">
      <c r="A23" s="326">
        <v>11</v>
      </c>
      <c r="B23" s="327" t="s">
        <v>32</v>
      </c>
      <c r="C23" s="327" t="s">
        <v>16</v>
      </c>
      <c r="D23" s="328">
        <v>135845</v>
      </c>
      <c r="E23" s="329">
        <v>621.79999999999995</v>
      </c>
      <c r="F23" s="329">
        <v>599.4</v>
      </c>
      <c r="G23" s="329">
        <v>40</v>
      </c>
      <c r="H23" s="329">
        <f t="shared" si="0"/>
        <v>895.99999999999909</v>
      </c>
      <c r="I23" s="330">
        <v>1.1000000000000001</v>
      </c>
      <c r="J23" s="330">
        <f t="shared" si="1"/>
        <v>985.59999999999911</v>
      </c>
      <c r="K23" s="330">
        <f t="shared" ref="K23:K35" si="4">J23</f>
        <v>985.59999999999911</v>
      </c>
      <c r="L23" s="332">
        <v>240</v>
      </c>
      <c r="M23" s="332">
        <v>240</v>
      </c>
      <c r="N23" s="333">
        <f t="shared" si="2"/>
        <v>0</v>
      </c>
      <c r="O23" s="334">
        <v>4.4000000000000004</v>
      </c>
      <c r="P23" s="334">
        <f t="shared" si="3"/>
        <v>0</v>
      </c>
      <c r="Q23" s="334">
        <v>0</v>
      </c>
      <c r="R23" s="335">
        <f t="shared" ref="R23:R35" si="5">K23+P23</f>
        <v>985.59999999999911</v>
      </c>
      <c r="S23" s="360">
        <v>985</v>
      </c>
    </row>
    <row r="24" spans="1:19" s="257" customFormat="1" ht="30" customHeight="1">
      <c r="A24" s="336">
        <v>12</v>
      </c>
      <c r="B24" s="337" t="s">
        <v>33</v>
      </c>
      <c r="C24" s="337" t="s">
        <v>16</v>
      </c>
      <c r="D24" s="338">
        <v>135844</v>
      </c>
      <c r="E24" s="339">
        <v>97.4</v>
      </c>
      <c r="F24" s="339">
        <v>92.1</v>
      </c>
      <c r="G24" s="339">
        <v>30</v>
      </c>
      <c r="H24" s="339">
        <f t="shared" si="0"/>
        <v>159.00000000000034</v>
      </c>
      <c r="I24" s="340">
        <v>1.1000000000000001</v>
      </c>
      <c r="J24" s="340">
        <f t="shared" si="1"/>
        <v>174.90000000000038</v>
      </c>
      <c r="K24" s="340">
        <f t="shared" si="4"/>
        <v>174.90000000000038</v>
      </c>
      <c r="L24" s="342">
        <v>33</v>
      </c>
      <c r="M24" s="342">
        <v>33</v>
      </c>
      <c r="N24" s="343">
        <f t="shared" si="2"/>
        <v>0</v>
      </c>
      <c r="O24" s="344">
        <v>4.4000000000000004</v>
      </c>
      <c r="P24" s="344">
        <f t="shared" si="3"/>
        <v>0</v>
      </c>
      <c r="Q24" s="344">
        <v>354.2</v>
      </c>
      <c r="R24" s="345">
        <f>K24+P24+Q24</f>
        <v>529.10000000000036</v>
      </c>
      <c r="S24" s="361">
        <v>529</v>
      </c>
    </row>
    <row r="25" spans="1:19" s="258" customFormat="1" ht="30" customHeight="1">
      <c r="A25" s="326">
        <v>13</v>
      </c>
      <c r="B25" s="327" t="s">
        <v>34</v>
      </c>
      <c r="C25" s="327" t="s">
        <v>16</v>
      </c>
      <c r="D25" s="328">
        <v>135844</v>
      </c>
      <c r="E25" s="329">
        <v>139.69999999999999</v>
      </c>
      <c r="F25" s="329">
        <v>124</v>
      </c>
      <c r="G25" s="329">
        <v>30</v>
      </c>
      <c r="H25" s="329">
        <f t="shared" si="0"/>
        <v>470.99999999999966</v>
      </c>
      <c r="I25" s="330">
        <v>1.1000000000000001</v>
      </c>
      <c r="J25" s="330">
        <f t="shared" si="1"/>
        <v>518.09999999999968</v>
      </c>
      <c r="K25" s="330">
        <f t="shared" si="4"/>
        <v>518.09999999999968</v>
      </c>
      <c r="L25" s="332">
        <v>61</v>
      </c>
      <c r="M25" s="332">
        <v>61</v>
      </c>
      <c r="N25" s="333">
        <f t="shared" si="2"/>
        <v>0</v>
      </c>
      <c r="O25" s="334">
        <v>4.4000000000000004</v>
      </c>
      <c r="P25" s="334">
        <f t="shared" si="3"/>
        <v>0</v>
      </c>
      <c r="Q25" s="334">
        <v>0</v>
      </c>
      <c r="R25" s="335">
        <f t="shared" si="5"/>
        <v>518.09999999999968</v>
      </c>
      <c r="S25" s="360">
        <v>518</v>
      </c>
    </row>
    <row r="26" spans="1:19" s="257" customFormat="1" ht="30" customHeight="1">
      <c r="A26" s="336">
        <v>14</v>
      </c>
      <c r="B26" s="337" t="s">
        <v>35</v>
      </c>
      <c r="C26" s="337" t="s">
        <v>16</v>
      </c>
      <c r="D26" s="338">
        <v>135850</v>
      </c>
      <c r="E26" s="339">
        <v>248.8</v>
      </c>
      <c r="F26" s="339">
        <v>244.2</v>
      </c>
      <c r="G26" s="339">
        <v>30</v>
      </c>
      <c r="H26" s="339">
        <f t="shared" si="0"/>
        <v>138.00000000000068</v>
      </c>
      <c r="I26" s="340">
        <v>1.1000000000000001</v>
      </c>
      <c r="J26" s="340">
        <f t="shared" si="1"/>
        <v>151.80000000000075</v>
      </c>
      <c r="K26" s="340">
        <f t="shared" si="4"/>
        <v>151.80000000000075</v>
      </c>
      <c r="L26" s="342">
        <v>46</v>
      </c>
      <c r="M26" s="342">
        <v>46</v>
      </c>
      <c r="N26" s="343">
        <f t="shared" si="2"/>
        <v>0</v>
      </c>
      <c r="O26" s="344">
        <v>4.4000000000000004</v>
      </c>
      <c r="P26" s="344">
        <f t="shared" si="3"/>
        <v>0</v>
      </c>
      <c r="Q26" s="344">
        <v>0</v>
      </c>
      <c r="R26" s="345">
        <f t="shared" si="5"/>
        <v>151.80000000000075</v>
      </c>
      <c r="S26" s="361">
        <v>151</v>
      </c>
    </row>
    <row r="27" spans="1:19" s="3" customFormat="1" ht="30" customHeight="1">
      <c r="A27" s="308">
        <v>15</v>
      </c>
      <c r="B27" s="309" t="s">
        <v>36</v>
      </c>
      <c r="C27" s="309" t="s">
        <v>16</v>
      </c>
      <c r="D27" s="310">
        <v>135358</v>
      </c>
      <c r="E27" s="311">
        <v>310.8</v>
      </c>
      <c r="F27" s="311">
        <v>290.10000000000002</v>
      </c>
      <c r="G27" s="311">
        <v>40</v>
      </c>
      <c r="H27" s="311">
        <f t="shared" si="0"/>
        <v>827.99999999999955</v>
      </c>
      <c r="I27" s="312">
        <v>1.1000000000000001</v>
      </c>
      <c r="J27" s="312">
        <f t="shared" si="1"/>
        <v>910.79999999999961</v>
      </c>
      <c r="K27" s="312">
        <f t="shared" si="4"/>
        <v>910.79999999999961</v>
      </c>
      <c r="L27" s="314">
        <v>193</v>
      </c>
      <c r="M27" s="314">
        <v>193</v>
      </c>
      <c r="N27" s="315">
        <f t="shared" si="2"/>
        <v>0</v>
      </c>
      <c r="O27" s="316">
        <v>4.4000000000000004</v>
      </c>
      <c r="P27" s="316">
        <f t="shared" si="3"/>
        <v>0</v>
      </c>
      <c r="Q27" s="316">
        <v>0</v>
      </c>
      <c r="R27" s="325">
        <f t="shared" si="5"/>
        <v>910.79999999999961</v>
      </c>
      <c r="S27" s="359">
        <v>910</v>
      </c>
    </row>
    <row r="28" spans="1:19" s="4" customFormat="1" ht="30" customHeight="1">
      <c r="A28" s="275">
        <v>16</v>
      </c>
      <c r="B28" s="276" t="s">
        <v>126</v>
      </c>
      <c r="C28" s="276" t="s">
        <v>16</v>
      </c>
      <c r="D28" s="277">
        <v>135380</v>
      </c>
      <c r="E28" s="278">
        <v>436.9</v>
      </c>
      <c r="F28" s="278">
        <v>408.4</v>
      </c>
      <c r="G28" s="278">
        <v>40</v>
      </c>
      <c r="H28" s="278">
        <f t="shared" si="0"/>
        <v>1140</v>
      </c>
      <c r="I28" s="279">
        <v>1.1000000000000001</v>
      </c>
      <c r="J28" s="279">
        <f t="shared" si="1"/>
        <v>1254</v>
      </c>
      <c r="K28" s="279">
        <f t="shared" si="4"/>
        <v>1254</v>
      </c>
      <c r="L28" s="281">
        <v>207</v>
      </c>
      <c r="M28" s="281">
        <v>207</v>
      </c>
      <c r="N28" s="282">
        <f t="shared" si="2"/>
        <v>0</v>
      </c>
      <c r="O28" s="283">
        <v>4.4000000000000004</v>
      </c>
      <c r="P28" s="283">
        <f t="shared" si="3"/>
        <v>0</v>
      </c>
      <c r="Q28" s="283">
        <v>0</v>
      </c>
      <c r="R28" s="346">
        <f t="shared" si="5"/>
        <v>1254</v>
      </c>
      <c r="S28" s="353">
        <v>1254</v>
      </c>
    </row>
    <row r="29" spans="1:19" s="3" customFormat="1" ht="30" customHeight="1">
      <c r="A29" s="308">
        <v>17</v>
      </c>
      <c r="B29" s="309" t="s">
        <v>38</v>
      </c>
      <c r="C29" s="309" t="s">
        <v>16</v>
      </c>
      <c r="D29" s="310">
        <v>135376</v>
      </c>
      <c r="E29" s="311">
        <v>47.5</v>
      </c>
      <c r="F29" s="311">
        <v>45.9</v>
      </c>
      <c r="G29" s="311">
        <v>40</v>
      </c>
      <c r="H29" s="311">
        <f t="shared" si="0"/>
        <v>64.000000000000057</v>
      </c>
      <c r="I29" s="312">
        <v>1.1000000000000001</v>
      </c>
      <c r="J29" s="312">
        <f t="shared" si="1"/>
        <v>70.400000000000063</v>
      </c>
      <c r="K29" s="312">
        <f t="shared" si="4"/>
        <v>70.400000000000063</v>
      </c>
      <c r="L29" s="314">
        <v>80</v>
      </c>
      <c r="M29" s="314">
        <v>80</v>
      </c>
      <c r="N29" s="315">
        <f t="shared" si="2"/>
        <v>0</v>
      </c>
      <c r="O29" s="316">
        <v>4.4000000000000004</v>
      </c>
      <c r="P29" s="316">
        <f t="shared" si="3"/>
        <v>0</v>
      </c>
      <c r="Q29" s="316">
        <v>34.200000000000003</v>
      </c>
      <c r="R29" s="325">
        <f>K29+P29+Q29</f>
        <v>104.60000000000007</v>
      </c>
      <c r="S29" s="359">
        <v>105</v>
      </c>
    </row>
    <row r="30" spans="1:19" s="4" customFormat="1" ht="30" customHeight="1">
      <c r="A30" s="275">
        <v>18</v>
      </c>
      <c r="B30" s="276" t="s">
        <v>39</v>
      </c>
      <c r="C30" s="276" t="s">
        <v>16</v>
      </c>
      <c r="D30" s="277" t="s">
        <v>85</v>
      </c>
      <c r="E30" s="278">
        <v>820</v>
      </c>
      <c r="F30" s="278">
        <v>790</v>
      </c>
      <c r="G30" s="278">
        <v>1</v>
      </c>
      <c r="H30" s="278">
        <f t="shared" si="0"/>
        <v>30</v>
      </c>
      <c r="I30" s="279">
        <v>1.1000000000000001</v>
      </c>
      <c r="J30" s="279">
        <f t="shared" si="1"/>
        <v>33</v>
      </c>
      <c r="K30" s="279">
        <f t="shared" si="4"/>
        <v>33</v>
      </c>
      <c r="L30" s="281">
        <v>17</v>
      </c>
      <c r="M30" s="281">
        <v>17</v>
      </c>
      <c r="N30" s="282">
        <f t="shared" si="2"/>
        <v>0</v>
      </c>
      <c r="O30" s="283">
        <v>4.4000000000000004</v>
      </c>
      <c r="P30" s="283">
        <f t="shared" si="3"/>
        <v>0</v>
      </c>
      <c r="Q30" s="283">
        <v>0</v>
      </c>
      <c r="R30" s="346">
        <f t="shared" si="5"/>
        <v>33</v>
      </c>
      <c r="S30" s="353"/>
    </row>
    <row r="31" spans="1:19" s="3" customFormat="1" ht="30" customHeight="1">
      <c r="A31" s="308">
        <v>19</v>
      </c>
      <c r="B31" s="309" t="s">
        <v>41</v>
      </c>
      <c r="C31" s="309" t="s">
        <v>16</v>
      </c>
      <c r="D31" s="310" t="s">
        <v>85</v>
      </c>
      <c r="E31" s="311">
        <v>3848</v>
      </c>
      <c r="F31" s="311">
        <v>3691</v>
      </c>
      <c r="G31" s="311">
        <v>1</v>
      </c>
      <c r="H31" s="311">
        <f t="shared" si="0"/>
        <v>157</v>
      </c>
      <c r="I31" s="312">
        <v>1.1000000000000001</v>
      </c>
      <c r="J31" s="312">
        <f t="shared" si="1"/>
        <v>172.70000000000002</v>
      </c>
      <c r="K31" s="312">
        <f t="shared" si="4"/>
        <v>172.70000000000002</v>
      </c>
      <c r="L31" s="314">
        <v>83</v>
      </c>
      <c r="M31" s="314">
        <v>83</v>
      </c>
      <c r="N31" s="315">
        <f t="shared" si="2"/>
        <v>0</v>
      </c>
      <c r="O31" s="316">
        <v>4.4000000000000004</v>
      </c>
      <c r="P31" s="316">
        <f t="shared" si="3"/>
        <v>0</v>
      </c>
      <c r="Q31" s="316">
        <v>0</v>
      </c>
      <c r="R31" s="325">
        <f t="shared" si="5"/>
        <v>172.70000000000002</v>
      </c>
      <c r="S31" s="359">
        <f>172.7*2</f>
        <v>345.4</v>
      </c>
    </row>
    <row r="32" spans="1:19" s="4" customFormat="1" ht="30" customHeight="1">
      <c r="A32" s="275">
        <v>20</v>
      </c>
      <c r="B32" s="276" t="s">
        <v>43</v>
      </c>
      <c r="C32" s="276" t="s">
        <v>16</v>
      </c>
      <c r="D32" s="277">
        <v>281917</v>
      </c>
      <c r="E32" s="278">
        <v>134.9</v>
      </c>
      <c r="F32" s="278">
        <v>133.5</v>
      </c>
      <c r="G32" s="278">
        <v>100</v>
      </c>
      <c r="H32" s="278">
        <f t="shared" si="0"/>
        <v>140.00000000000057</v>
      </c>
      <c r="I32" s="279">
        <v>1.1000000000000001</v>
      </c>
      <c r="J32" s="279">
        <f t="shared" si="1"/>
        <v>154.00000000000063</v>
      </c>
      <c r="K32" s="279">
        <f t="shared" si="4"/>
        <v>154.00000000000063</v>
      </c>
      <c r="L32" s="281">
        <v>14</v>
      </c>
      <c r="M32" s="281">
        <v>14</v>
      </c>
      <c r="N32" s="282">
        <f t="shared" si="2"/>
        <v>0</v>
      </c>
      <c r="O32" s="283">
        <v>4.4000000000000004</v>
      </c>
      <c r="P32" s="283">
        <f t="shared" si="3"/>
        <v>0</v>
      </c>
      <c r="Q32" s="283">
        <v>0</v>
      </c>
      <c r="R32" s="346">
        <f t="shared" si="5"/>
        <v>154.00000000000063</v>
      </c>
      <c r="S32" s="353">
        <v>154</v>
      </c>
    </row>
    <row r="33" spans="1:20" s="3" customFormat="1" ht="30" customHeight="1">
      <c r="A33" s="308">
        <v>21</v>
      </c>
      <c r="B33" s="309" t="s">
        <v>44</v>
      </c>
      <c r="C33" s="309" t="s">
        <v>16</v>
      </c>
      <c r="D33" s="310">
        <v>136865</v>
      </c>
      <c r="E33" s="311">
        <v>405.5</v>
      </c>
      <c r="F33" s="311">
        <v>391.7</v>
      </c>
      <c r="G33" s="311">
        <v>20</v>
      </c>
      <c r="H33" s="311">
        <f t="shared" si="0"/>
        <v>276.00000000000023</v>
      </c>
      <c r="I33" s="312">
        <v>1.1000000000000001</v>
      </c>
      <c r="J33" s="312">
        <f t="shared" si="1"/>
        <v>303.60000000000025</v>
      </c>
      <c r="K33" s="312">
        <f t="shared" si="4"/>
        <v>303.60000000000025</v>
      </c>
      <c r="L33" s="314">
        <v>7</v>
      </c>
      <c r="M33" s="314">
        <v>7</v>
      </c>
      <c r="N33" s="315">
        <f t="shared" si="2"/>
        <v>0</v>
      </c>
      <c r="O33" s="316">
        <v>4.4000000000000004</v>
      </c>
      <c r="P33" s="316">
        <f t="shared" si="3"/>
        <v>0</v>
      </c>
      <c r="Q33" s="316">
        <v>0</v>
      </c>
      <c r="R33" s="325">
        <f t="shared" si="5"/>
        <v>303.60000000000025</v>
      </c>
      <c r="S33" s="359">
        <v>303.60000000000002</v>
      </c>
    </row>
    <row r="34" spans="1:20" s="4" customFormat="1" ht="30" customHeight="1">
      <c r="A34" s="275">
        <v>22</v>
      </c>
      <c r="B34" s="276" t="s">
        <v>46</v>
      </c>
      <c r="C34" s="276" t="s">
        <v>16</v>
      </c>
      <c r="D34" s="277">
        <v>121780</v>
      </c>
      <c r="E34" s="278">
        <v>103.9</v>
      </c>
      <c r="F34" s="278">
        <v>97.5</v>
      </c>
      <c r="G34" s="278">
        <v>20</v>
      </c>
      <c r="H34" s="278">
        <f t="shared" si="0"/>
        <v>128.00000000000011</v>
      </c>
      <c r="I34" s="279">
        <v>1.1000000000000001</v>
      </c>
      <c r="J34" s="279">
        <f t="shared" si="1"/>
        <v>140.80000000000013</v>
      </c>
      <c r="K34" s="279">
        <f t="shared" si="4"/>
        <v>140.80000000000013</v>
      </c>
      <c r="L34" s="281">
        <v>89</v>
      </c>
      <c r="M34" s="281">
        <v>89</v>
      </c>
      <c r="N34" s="282">
        <f t="shared" si="2"/>
        <v>0</v>
      </c>
      <c r="O34" s="283">
        <v>4.4000000000000004</v>
      </c>
      <c r="P34" s="283">
        <f t="shared" si="3"/>
        <v>0</v>
      </c>
      <c r="Q34" s="283">
        <v>0</v>
      </c>
      <c r="R34" s="346">
        <f t="shared" si="5"/>
        <v>140.80000000000013</v>
      </c>
      <c r="S34" s="353">
        <v>141</v>
      </c>
    </row>
    <row r="35" spans="1:20" s="258" customFormat="1" ht="30" customHeight="1" thickBot="1">
      <c r="A35" s="326">
        <v>23</v>
      </c>
      <c r="B35" s="327" t="s">
        <v>47</v>
      </c>
      <c r="C35" s="327" t="s">
        <v>16</v>
      </c>
      <c r="D35" s="328">
        <v>135940</v>
      </c>
      <c r="E35" s="329">
        <v>70.400000000000006</v>
      </c>
      <c r="F35" s="329">
        <v>67.8</v>
      </c>
      <c r="G35" s="329">
        <v>30</v>
      </c>
      <c r="H35" s="329">
        <f t="shared" si="0"/>
        <v>78.000000000000256</v>
      </c>
      <c r="I35" s="330">
        <v>1.1000000000000001</v>
      </c>
      <c r="J35" s="330">
        <f t="shared" si="1"/>
        <v>85.800000000000281</v>
      </c>
      <c r="K35" s="330">
        <f t="shared" si="4"/>
        <v>85.800000000000281</v>
      </c>
      <c r="L35" s="332">
        <v>7</v>
      </c>
      <c r="M35" s="332">
        <v>7</v>
      </c>
      <c r="N35" s="333">
        <f t="shared" si="2"/>
        <v>0</v>
      </c>
      <c r="O35" s="334">
        <v>4.4000000000000004</v>
      </c>
      <c r="P35" s="334">
        <f t="shared" si="3"/>
        <v>0</v>
      </c>
      <c r="Q35" s="334">
        <v>0</v>
      </c>
      <c r="R35" s="335">
        <f t="shared" si="5"/>
        <v>85.800000000000281</v>
      </c>
      <c r="S35" s="360">
        <v>86</v>
      </c>
    </row>
    <row r="36" spans="1:20" s="5" customFormat="1" ht="30" customHeight="1" thickBot="1">
      <c r="A36" s="469">
        <v>24</v>
      </c>
      <c r="B36" s="465" t="s">
        <v>48</v>
      </c>
      <c r="C36" s="292" t="s">
        <v>110</v>
      </c>
      <c r="D36" s="293" t="s">
        <v>215</v>
      </c>
      <c r="E36" s="294">
        <v>0</v>
      </c>
      <c r="F36" s="294">
        <v>0</v>
      </c>
      <c r="G36" s="294">
        <v>0</v>
      </c>
      <c r="H36" s="294">
        <v>0</v>
      </c>
      <c r="I36" s="295">
        <v>0</v>
      </c>
      <c r="J36" s="295">
        <v>0</v>
      </c>
      <c r="K36" s="295">
        <v>0</v>
      </c>
      <c r="L36" s="297">
        <v>556</v>
      </c>
      <c r="M36" s="297">
        <v>556</v>
      </c>
      <c r="N36" s="298">
        <f t="shared" si="2"/>
        <v>0</v>
      </c>
      <c r="O36" s="299">
        <v>4.4000000000000004</v>
      </c>
      <c r="P36" s="299">
        <f t="shared" si="3"/>
        <v>0</v>
      </c>
      <c r="Q36" s="631">
        <v>0</v>
      </c>
      <c r="R36" s="481">
        <v>0</v>
      </c>
      <c r="S36" s="509"/>
    </row>
    <row r="37" spans="1:20" s="4" customFormat="1" ht="30" customHeight="1">
      <c r="A37" s="468"/>
      <c r="B37" s="464"/>
      <c r="C37" s="300" t="s">
        <v>16</v>
      </c>
      <c r="D37" s="301">
        <v>121780</v>
      </c>
      <c r="E37" s="302">
        <v>4415.1000000000004</v>
      </c>
      <c r="F37" s="302">
        <v>4211.7</v>
      </c>
      <c r="G37" s="302">
        <v>30</v>
      </c>
      <c r="H37" s="302">
        <f t="shared" ref="H37:H42" si="6">(E37-F37)*G37</f>
        <v>6102.0000000000164</v>
      </c>
      <c r="I37" s="303">
        <v>1.1000000000000001</v>
      </c>
      <c r="J37" s="303">
        <f t="shared" ref="J37:J42" si="7">H37*I37</f>
        <v>6712.2000000000189</v>
      </c>
      <c r="K37" s="303">
        <f>J37</f>
        <v>6712.2000000000189</v>
      </c>
      <c r="L37" s="305">
        <v>127</v>
      </c>
      <c r="M37" s="305">
        <v>127</v>
      </c>
      <c r="N37" s="306">
        <f t="shared" si="2"/>
        <v>0</v>
      </c>
      <c r="O37" s="307">
        <v>4.4000000000000004</v>
      </c>
      <c r="P37" s="307">
        <f t="shared" si="3"/>
        <v>0</v>
      </c>
      <c r="Q37" s="632"/>
      <c r="R37" s="480"/>
      <c r="S37" s="510"/>
    </row>
    <row r="38" spans="1:20" s="2" customFormat="1" ht="30" customHeight="1" thickBot="1">
      <c r="A38" s="455">
        <v>25</v>
      </c>
      <c r="B38" s="482" t="s">
        <v>186</v>
      </c>
      <c r="C38" s="284" t="s">
        <v>17</v>
      </c>
      <c r="D38" s="285" t="s">
        <v>85</v>
      </c>
      <c r="E38" s="286">
        <v>204</v>
      </c>
      <c r="F38" s="286">
        <v>203</v>
      </c>
      <c r="G38" s="286">
        <v>1</v>
      </c>
      <c r="H38" s="286">
        <f t="shared" si="6"/>
        <v>1</v>
      </c>
      <c r="I38" s="287">
        <v>1.1000000000000001</v>
      </c>
      <c r="J38" s="287">
        <f t="shared" si="7"/>
        <v>1.1000000000000001</v>
      </c>
      <c r="K38" s="459">
        <f>J38+J39</f>
        <v>986.70000000000414</v>
      </c>
      <c r="L38" s="472">
        <v>73</v>
      </c>
      <c r="M38" s="472">
        <v>73</v>
      </c>
      <c r="N38" s="290">
        <f t="shared" si="2"/>
        <v>0</v>
      </c>
      <c r="O38" s="291">
        <v>4.4000000000000004</v>
      </c>
      <c r="P38" s="291">
        <f t="shared" si="3"/>
        <v>0</v>
      </c>
      <c r="Q38" s="629">
        <v>9304</v>
      </c>
      <c r="R38" s="507">
        <f>K38+P38+P39+Q38</f>
        <v>10290.700000000004</v>
      </c>
      <c r="S38" s="517">
        <v>10290</v>
      </c>
    </row>
    <row r="39" spans="1:20" s="3" customFormat="1" ht="30" customHeight="1">
      <c r="A39" s="456"/>
      <c r="B39" s="483"/>
      <c r="C39" s="267" t="s">
        <v>16</v>
      </c>
      <c r="D39" s="268">
        <v>134768</v>
      </c>
      <c r="E39" s="269">
        <v>1115.2</v>
      </c>
      <c r="F39" s="269">
        <v>1104</v>
      </c>
      <c r="G39" s="269">
        <v>80</v>
      </c>
      <c r="H39" s="269">
        <f t="shared" si="6"/>
        <v>896.00000000000364</v>
      </c>
      <c r="I39" s="270">
        <v>1.1000000000000001</v>
      </c>
      <c r="J39" s="270">
        <f t="shared" si="7"/>
        <v>985.60000000000412</v>
      </c>
      <c r="K39" s="458"/>
      <c r="L39" s="473"/>
      <c r="M39" s="473"/>
      <c r="N39" s="273">
        <f t="shared" si="2"/>
        <v>0</v>
      </c>
      <c r="O39" s="274">
        <v>4.4000000000000004</v>
      </c>
      <c r="P39" s="274">
        <f t="shared" si="3"/>
        <v>0</v>
      </c>
      <c r="Q39" s="630"/>
      <c r="R39" s="508"/>
      <c r="S39" s="518"/>
    </row>
    <row r="40" spans="1:20" s="4" customFormat="1" ht="30" customHeight="1">
      <c r="A40" s="621">
        <v>26</v>
      </c>
      <c r="B40" s="623" t="s">
        <v>111</v>
      </c>
      <c r="C40" s="276" t="s">
        <v>16</v>
      </c>
      <c r="D40" s="277">
        <v>135939</v>
      </c>
      <c r="E40" s="278">
        <v>271.39999999999998</v>
      </c>
      <c r="F40" s="278">
        <v>261.8</v>
      </c>
      <c r="G40" s="278">
        <v>80</v>
      </c>
      <c r="H40" s="278">
        <f t="shared" si="6"/>
        <v>767.99999999999727</v>
      </c>
      <c r="I40" s="279">
        <v>1.1000000000000001</v>
      </c>
      <c r="J40" s="279">
        <f t="shared" si="7"/>
        <v>844.79999999999711</v>
      </c>
      <c r="K40" s="625">
        <f>J40+J41</f>
        <v>15848.8</v>
      </c>
      <c r="L40" s="281">
        <v>2</v>
      </c>
      <c r="M40" s="281">
        <v>2</v>
      </c>
      <c r="N40" s="282">
        <f t="shared" si="2"/>
        <v>0</v>
      </c>
      <c r="O40" s="283">
        <v>4.4000000000000004</v>
      </c>
      <c r="P40" s="283">
        <f t="shared" si="3"/>
        <v>0</v>
      </c>
      <c r="Q40" s="631">
        <v>3968.8</v>
      </c>
      <c r="R40" s="627">
        <f>K40+P40+P41+Q40</f>
        <v>19817.599999999999</v>
      </c>
      <c r="S40" s="509">
        <v>19817.599999999999</v>
      </c>
      <c r="T40" s="376">
        <f>R40-S40</f>
        <v>0</v>
      </c>
    </row>
    <row r="41" spans="1:20" s="4" customFormat="1" ht="30" customHeight="1">
      <c r="A41" s="622"/>
      <c r="B41" s="624"/>
      <c r="C41" s="276" t="s">
        <v>218</v>
      </c>
      <c r="D41" s="277" t="s">
        <v>219</v>
      </c>
      <c r="E41" s="278">
        <v>136.4</v>
      </c>
      <c r="F41" s="278">
        <v>0</v>
      </c>
      <c r="G41" s="278">
        <v>100</v>
      </c>
      <c r="H41" s="278">
        <f t="shared" si="6"/>
        <v>13640</v>
      </c>
      <c r="I41" s="279">
        <v>1.1000000000000001</v>
      </c>
      <c r="J41" s="279">
        <f t="shared" si="7"/>
        <v>15004.000000000002</v>
      </c>
      <c r="K41" s="626"/>
      <c r="L41" s="281"/>
      <c r="M41" s="281"/>
      <c r="N41" s="282"/>
      <c r="O41" s="283"/>
      <c r="P41" s="283"/>
      <c r="Q41" s="632"/>
      <c r="R41" s="628"/>
      <c r="S41" s="510"/>
    </row>
    <row r="42" spans="1:20" s="3" customFormat="1" ht="30" customHeight="1">
      <c r="A42" s="308">
        <v>27</v>
      </c>
      <c r="B42" s="309" t="s">
        <v>127</v>
      </c>
      <c r="C42" s="309" t="s">
        <v>16</v>
      </c>
      <c r="D42" s="310" t="s">
        <v>128</v>
      </c>
      <c r="E42" s="311">
        <v>152.19999999999999</v>
      </c>
      <c r="F42" s="311">
        <v>141</v>
      </c>
      <c r="G42" s="311">
        <v>80</v>
      </c>
      <c r="H42" s="311">
        <f t="shared" si="6"/>
        <v>895.99999999999909</v>
      </c>
      <c r="I42" s="312">
        <v>1.1000000000000001</v>
      </c>
      <c r="J42" s="312">
        <f t="shared" si="7"/>
        <v>985.59999999999911</v>
      </c>
      <c r="K42" s="312">
        <f>J42</f>
        <v>985.59999999999911</v>
      </c>
      <c r="L42" s="314">
        <v>8</v>
      </c>
      <c r="M42" s="314">
        <v>8</v>
      </c>
      <c r="N42" s="315">
        <f t="shared" si="2"/>
        <v>0</v>
      </c>
      <c r="O42" s="316">
        <v>4.4000000000000004</v>
      </c>
      <c r="P42" s="316">
        <f t="shared" si="3"/>
        <v>0</v>
      </c>
      <c r="Q42" s="316">
        <v>35.4</v>
      </c>
      <c r="R42" s="325">
        <f>K42+P42+Q42</f>
        <v>1020.9999999999991</v>
      </c>
      <c r="S42" s="358">
        <v>1020</v>
      </c>
    </row>
    <row r="43" spans="1:20" s="6" customFormat="1" ht="30" customHeight="1">
      <c r="A43" s="17"/>
      <c r="B43" s="17"/>
      <c r="C43" s="17"/>
      <c r="D43" s="18"/>
      <c r="E43" s="18"/>
      <c r="F43" s="18"/>
      <c r="G43" s="18"/>
      <c r="H43" s="18">
        <f>SUM(H4:H42)</f>
        <v>34080.000000000015</v>
      </c>
      <c r="I43" s="18"/>
      <c r="J43" s="19">
        <f>SUM(J4:J42)</f>
        <v>37488.000000000022</v>
      </c>
      <c r="K43" s="19">
        <f>SUM(K4:K42)</f>
        <v>37488.000000000022</v>
      </c>
      <c r="L43" s="20"/>
      <c r="M43" s="21"/>
      <c r="N43" s="22">
        <f>SUM(N4:N42)</f>
        <v>0</v>
      </c>
      <c r="O43" s="23"/>
      <c r="P43" s="23"/>
      <c r="Q43" s="23">
        <f>SUM(Q4:Q42)</f>
        <v>31328.500000000007</v>
      </c>
      <c r="R43" s="24">
        <f>SUM(R4:R42)</f>
        <v>62104.299999999996</v>
      </c>
      <c r="S43" s="348">
        <f>SUM(S4:S42)</f>
        <v>62238.299999999996</v>
      </c>
      <c r="T43" s="33">
        <f>R43-S43</f>
        <v>-134</v>
      </c>
    </row>
    <row r="44" spans="1:20" s="6" customFormat="1" ht="30" customHeight="1" thickBot="1">
      <c r="A44" s="475" t="s">
        <v>112</v>
      </c>
      <c r="B44" s="475"/>
      <c r="C44" s="633" t="s">
        <v>231</v>
      </c>
      <c r="D44" s="633"/>
      <c r="E44" s="633"/>
      <c r="F44" s="633"/>
      <c r="G44" s="633"/>
      <c r="H44" s="633"/>
      <c r="I44" s="633"/>
      <c r="J44" s="633"/>
      <c r="K44" s="633"/>
      <c r="L44" s="634"/>
      <c r="M44" s="634"/>
      <c r="N44" s="633"/>
      <c r="O44" s="633"/>
      <c r="P44" s="633"/>
      <c r="Q44" s="368"/>
      <c r="R44" s="25"/>
      <c r="S44" s="362">
        <f>-1355-80</f>
        <v>-1435</v>
      </c>
    </row>
    <row r="45" spans="1:20" s="6" customFormat="1" ht="30" customHeight="1" thickBot="1">
      <c r="A45" s="453" t="s">
        <v>117</v>
      </c>
      <c r="B45" s="453"/>
      <c r="C45" s="443" t="s">
        <v>220</v>
      </c>
      <c r="D45" s="444"/>
      <c r="E45" s="444"/>
      <c r="F45" s="444"/>
      <c r="G45" s="444"/>
      <c r="H45" s="444"/>
      <c r="I45" s="444"/>
      <c r="J45" s="444"/>
      <c r="K45" s="444"/>
      <c r="L45" s="445"/>
      <c r="M45" s="445"/>
      <c r="N45" s="444"/>
      <c r="O45" s="444"/>
      <c r="P45" s="444"/>
      <c r="Q45" s="369"/>
      <c r="R45" s="26"/>
      <c r="S45" s="363">
        <v>-137.49</v>
      </c>
    </row>
    <row r="46" spans="1:20" s="6" customFormat="1" ht="30" customHeight="1" thickBot="1">
      <c r="A46" s="446"/>
      <c r="B46" s="446"/>
      <c r="C46" s="441" t="s">
        <v>227</v>
      </c>
      <c r="D46" s="441"/>
      <c r="E46" s="441"/>
      <c r="F46" s="441"/>
      <c r="G46" s="441"/>
      <c r="H46" s="441"/>
      <c r="I46" s="441"/>
      <c r="J46" s="441"/>
      <c r="K46" s="441"/>
      <c r="L46" s="442"/>
      <c r="M46" s="442"/>
      <c r="N46" s="441"/>
      <c r="O46" s="441"/>
      <c r="P46" s="441"/>
      <c r="Q46" s="370"/>
      <c r="R46" s="27"/>
      <c r="S46" s="364">
        <f>-44951.88*1.001</f>
        <v>-44996.831879999991</v>
      </c>
    </row>
    <row r="47" spans="1:20" s="6" customFormat="1" ht="30" customHeight="1" thickBot="1">
      <c r="A47" s="453"/>
      <c r="B47" s="453"/>
      <c r="C47" s="444" t="s">
        <v>228</v>
      </c>
      <c r="D47" s="444"/>
      <c r="E47" s="444"/>
      <c r="F47" s="444"/>
      <c r="G47" s="444"/>
      <c r="H47" s="444"/>
      <c r="I47" s="444"/>
      <c r="J47" s="444"/>
      <c r="K47" s="444"/>
      <c r="L47" s="445"/>
      <c r="M47" s="445"/>
      <c r="N47" s="444"/>
      <c r="O47" s="444"/>
      <c r="P47" s="444"/>
      <c r="Q47" s="369"/>
      <c r="R47" s="26"/>
      <c r="S47" s="363">
        <v>-60</v>
      </c>
    </row>
    <row r="48" spans="1:20" s="6" customFormat="1" ht="30" customHeight="1" thickBot="1">
      <c r="A48" s="446"/>
      <c r="B48" s="446"/>
      <c r="C48" s="441" t="s">
        <v>229</v>
      </c>
      <c r="D48" s="441"/>
      <c r="E48" s="441"/>
      <c r="F48" s="441"/>
      <c r="G48" s="441"/>
      <c r="H48" s="441"/>
      <c r="I48" s="441"/>
      <c r="J48" s="441"/>
      <c r="K48" s="441"/>
      <c r="L48" s="442"/>
      <c r="M48" s="442"/>
      <c r="N48" s="441"/>
      <c r="O48" s="441"/>
      <c r="P48" s="441"/>
      <c r="Q48" s="370"/>
      <c r="R48" s="27"/>
      <c r="S48" s="364">
        <f>'2026年1月水电费'!R53</f>
        <v>-25900.689999999991</v>
      </c>
    </row>
    <row r="49" spans="1:19" s="6" customFormat="1" ht="30" customHeight="1" thickBot="1">
      <c r="A49" s="453"/>
      <c r="B49" s="453"/>
      <c r="C49" s="444" t="s">
        <v>234</v>
      </c>
      <c r="D49" s="444"/>
      <c r="E49" s="444"/>
      <c r="F49" s="444"/>
      <c r="G49" s="444"/>
      <c r="H49" s="444"/>
      <c r="I49" s="444"/>
      <c r="J49" s="444"/>
      <c r="K49" s="444"/>
      <c r="L49" s="445"/>
      <c r="M49" s="445"/>
      <c r="N49" s="444"/>
      <c r="O49" s="444"/>
      <c r="P49" s="444"/>
      <c r="Q49" s="369"/>
      <c r="R49" s="26"/>
      <c r="S49" s="363">
        <v>10248</v>
      </c>
    </row>
    <row r="50" spans="1:19" s="6" customFormat="1" ht="30" customHeight="1" thickBot="1">
      <c r="A50" s="446"/>
      <c r="B50" s="446"/>
      <c r="C50" s="454"/>
      <c r="D50" s="441"/>
      <c r="E50" s="441"/>
      <c r="F50" s="441"/>
      <c r="G50" s="441"/>
      <c r="H50" s="441"/>
      <c r="I50" s="441"/>
      <c r="J50" s="441"/>
      <c r="K50" s="441"/>
      <c r="L50" s="442"/>
      <c r="M50" s="442"/>
      <c r="N50" s="441"/>
      <c r="O50" s="441"/>
      <c r="P50" s="441"/>
      <c r="Q50" s="370"/>
      <c r="R50" s="27"/>
      <c r="S50" s="364"/>
    </row>
    <row r="51" spans="1:19" s="6" customFormat="1" ht="30" customHeight="1" thickBot="1">
      <c r="A51" s="453"/>
      <c r="B51" s="453"/>
      <c r="C51" s="443"/>
      <c r="D51" s="444"/>
      <c r="E51" s="444"/>
      <c r="F51" s="444"/>
      <c r="G51" s="444"/>
      <c r="H51" s="444"/>
      <c r="I51" s="444"/>
      <c r="J51" s="444"/>
      <c r="K51" s="444"/>
      <c r="L51" s="445"/>
      <c r="M51" s="445"/>
      <c r="N51" s="444"/>
      <c r="O51" s="444"/>
      <c r="P51" s="444"/>
      <c r="Q51" s="369"/>
      <c r="R51" s="26"/>
      <c r="S51" s="363"/>
    </row>
    <row r="52" spans="1:19" s="6" customFormat="1" ht="30" customHeight="1" thickBot="1">
      <c r="A52" s="446"/>
      <c r="B52" s="446"/>
      <c r="C52" s="440"/>
      <c r="D52" s="441"/>
      <c r="E52" s="441"/>
      <c r="F52" s="441"/>
      <c r="G52" s="441"/>
      <c r="H52" s="441"/>
      <c r="I52" s="441"/>
      <c r="J52" s="441"/>
      <c r="K52" s="441"/>
      <c r="L52" s="442"/>
      <c r="M52" s="442"/>
      <c r="N52" s="441"/>
      <c r="O52" s="441"/>
      <c r="P52" s="441"/>
      <c r="Q52" s="370"/>
      <c r="R52" s="27"/>
      <c r="S52" s="364"/>
    </row>
    <row r="53" spans="1:19" s="6" customFormat="1" ht="30" customHeight="1" thickBot="1">
      <c r="A53" s="453"/>
      <c r="B53" s="453"/>
      <c r="C53" s="444"/>
      <c r="D53" s="444"/>
      <c r="E53" s="444"/>
      <c r="F53" s="444"/>
      <c r="G53" s="444"/>
      <c r="H53" s="444"/>
      <c r="I53" s="444"/>
      <c r="J53" s="444"/>
      <c r="K53" s="444"/>
      <c r="L53" s="445"/>
      <c r="M53" s="445"/>
      <c r="N53" s="444"/>
      <c r="O53" s="444"/>
      <c r="P53" s="444"/>
      <c r="Q53" s="369"/>
      <c r="R53" s="26"/>
      <c r="S53" s="363"/>
    </row>
    <row r="54" spans="1:19" s="6" customFormat="1" ht="30" customHeight="1" thickBot="1">
      <c r="A54" s="446"/>
      <c r="B54" s="446"/>
      <c r="C54" s="441"/>
      <c r="D54" s="441"/>
      <c r="E54" s="441"/>
      <c r="F54" s="441"/>
      <c r="G54" s="441"/>
      <c r="H54" s="441"/>
      <c r="I54" s="441"/>
      <c r="J54" s="441"/>
      <c r="K54" s="441"/>
      <c r="L54" s="442"/>
      <c r="M54" s="442"/>
      <c r="N54" s="441"/>
      <c r="O54" s="441"/>
      <c r="P54" s="441"/>
      <c r="Q54" s="370"/>
      <c r="R54" s="27"/>
      <c r="S54" s="364"/>
    </row>
    <row r="55" spans="1:19" s="6" customFormat="1" ht="30" customHeight="1" thickBot="1">
      <c r="A55" s="453"/>
      <c r="B55" s="453"/>
      <c r="C55" s="444"/>
      <c r="D55" s="444"/>
      <c r="E55" s="444"/>
      <c r="F55" s="444"/>
      <c r="G55" s="444"/>
      <c r="H55" s="444"/>
      <c r="I55" s="444"/>
      <c r="J55" s="444"/>
      <c r="K55" s="444"/>
      <c r="L55" s="445"/>
      <c r="M55" s="445"/>
      <c r="N55" s="444"/>
      <c r="O55" s="444"/>
      <c r="P55" s="444"/>
      <c r="Q55" s="369"/>
      <c r="R55" s="26"/>
      <c r="S55" s="349"/>
    </row>
    <row r="56" spans="1:19" s="6" customFormat="1" ht="30" customHeight="1" thickBot="1">
      <c r="A56" s="450" t="s">
        <v>200</v>
      </c>
      <c r="B56" s="451"/>
      <c r="C56" s="451"/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2"/>
      <c r="S56" s="349">
        <f>SUM(S44:S55)</f>
        <v>-62282.011879999976</v>
      </c>
    </row>
    <row r="57" spans="1:19" s="7" customFormat="1" ht="30" customHeight="1" thickBot="1">
      <c r="A57" s="446" t="s">
        <v>140</v>
      </c>
      <c r="B57" s="446"/>
      <c r="C57" s="446"/>
      <c r="D57" s="447"/>
      <c r="E57" s="447"/>
      <c r="F57" s="447"/>
      <c r="G57" s="447"/>
      <c r="H57" s="447"/>
      <c r="I57" s="447"/>
      <c r="J57" s="447"/>
      <c r="K57" s="447"/>
      <c r="L57" s="448"/>
      <c r="M57" s="449"/>
      <c r="N57" s="446"/>
      <c r="O57" s="446"/>
      <c r="P57" s="446"/>
      <c r="Q57" s="371"/>
      <c r="R57" s="28"/>
      <c r="S57" s="350">
        <f>S43+S56</f>
        <v>-43.711879999980738</v>
      </c>
    </row>
    <row r="58" spans="1:19" s="7" customFormat="1" ht="30" customHeight="1">
      <c r="A58" s="29"/>
      <c r="B58" s="29"/>
      <c r="C58" s="29"/>
      <c r="D58" s="30"/>
      <c r="E58" s="31"/>
      <c r="F58" s="31"/>
      <c r="G58" s="31"/>
      <c r="H58" s="31"/>
      <c r="I58" s="31"/>
      <c r="J58" s="31"/>
      <c r="K58" s="31"/>
      <c r="L58" s="32"/>
      <c r="M58" s="33"/>
      <c r="N58" s="6"/>
      <c r="O58" s="6"/>
      <c r="P58" s="6"/>
      <c r="Q58" s="6"/>
      <c r="S58" s="351"/>
    </row>
    <row r="59" spans="1:19" s="8" customFormat="1" ht="28" customHeight="1">
      <c r="A59" s="10"/>
      <c r="B59" s="10"/>
      <c r="C59" s="10"/>
      <c r="D59" s="11"/>
      <c r="E59" s="12"/>
      <c r="F59" s="12"/>
      <c r="G59" s="12"/>
      <c r="H59" s="12"/>
      <c r="I59" s="12"/>
      <c r="J59" s="12"/>
      <c r="K59" s="12"/>
      <c r="L59" s="13"/>
      <c r="M59" s="14"/>
      <c r="N59" s="9"/>
      <c r="O59" s="9"/>
      <c r="P59" s="9"/>
      <c r="Q59" s="9"/>
      <c r="S59" s="352"/>
    </row>
    <row r="60" spans="1:19" s="8" customFormat="1" ht="28" customHeight="1">
      <c r="A60" s="10"/>
      <c r="B60" s="10"/>
      <c r="C60" s="10"/>
      <c r="D60" s="11"/>
      <c r="E60" s="12"/>
      <c r="F60" s="12"/>
      <c r="G60" s="12"/>
      <c r="H60" s="12"/>
      <c r="I60" s="12"/>
      <c r="J60" s="12"/>
      <c r="K60" s="12"/>
      <c r="L60" s="13"/>
      <c r="M60" s="14"/>
      <c r="N60" s="9"/>
      <c r="O60" s="9"/>
      <c r="P60" s="9"/>
      <c r="Q60" s="9"/>
      <c r="S60" s="352"/>
    </row>
    <row r="61" spans="1:19" s="8" customFormat="1" ht="28" customHeight="1">
      <c r="A61" s="10"/>
      <c r="B61" s="10"/>
      <c r="C61" s="10"/>
      <c r="D61" s="11"/>
      <c r="E61" s="12"/>
      <c r="F61" s="12"/>
      <c r="G61" s="12"/>
      <c r="H61" s="12"/>
      <c r="I61" s="12"/>
      <c r="J61" s="12"/>
      <c r="K61" s="12"/>
      <c r="L61" s="13"/>
      <c r="M61" s="14"/>
      <c r="N61" s="9"/>
      <c r="O61" s="9"/>
      <c r="P61" s="9"/>
      <c r="Q61" s="9"/>
      <c r="S61" s="352"/>
    </row>
    <row r="62" spans="1:19" s="8" customFormat="1" ht="28" customHeight="1">
      <c r="A62" s="10"/>
      <c r="B62" s="10"/>
      <c r="C62" s="10"/>
      <c r="D62" s="11"/>
      <c r="E62" s="12"/>
      <c r="F62" s="12"/>
      <c r="G62" s="12"/>
      <c r="H62" s="12"/>
      <c r="I62" s="12"/>
      <c r="J62" s="12"/>
      <c r="K62" s="12"/>
      <c r="L62" s="13"/>
      <c r="M62" s="14"/>
      <c r="N62" s="9"/>
      <c r="O62" s="9"/>
      <c r="P62" s="9"/>
      <c r="Q62" s="9"/>
      <c r="S62" s="352"/>
    </row>
    <row r="63" spans="1:19" s="8" customFormat="1" ht="28" customHeight="1">
      <c r="A63" s="10"/>
      <c r="B63" s="10"/>
      <c r="C63" s="10"/>
      <c r="D63" s="11"/>
      <c r="E63" s="12"/>
      <c r="F63" s="12"/>
      <c r="G63" s="12"/>
      <c r="H63" s="12"/>
      <c r="I63" s="12"/>
      <c r="J63" s="12"/>
      <c r="K63" s="12"/>
      <c r="L63" s="13"/>
      <c r="M63" s="14"/>
      <c r="N63" s="9"/>
      <c r="O63" s="9"/>
      <c r="P63" s="9"/>
      <c r="Q63" s="9"/>
      <c r="S63" s="352"/>
    </row>
    <row r="64" spans="1:19" s="8" customFormat="1" ht="28" customHeight="1">
      <c r="A64" s="10"/>
      <c r="B64" s="10"/>
      <c r="C64" s="10"/>
      <c r="D64" s="11"/>
      <c r="E64" s="12"/>
      <c r="F64" s="12"/>
      <c r="G64" s="12"/>
      <c r="H64" s="12"/>
      <c r="I64" s="12"/>
      <c r="J64" s="12"/>
      <c r="K64" s="12"/>
      <c r="L64" s="13"/>
      <c r="M64" s="14"/>
      <c r="N64" s="9"/>
      <c r="O64" s="9"/>
      <c r="P64" s="9"/>
      <c r="Q64" s="9"/>
      <c r="S64" s="352"/>
    </row>
    <row r="65" spans="1:19" s="8" customFormat="1" ht="28" customHeight="1">
      <c r="A65" s="10"/>
      <c r="B65" s="10"/>
      <c r="C65" s="10"/>
      <c r="D65" s="11"/>
      <c r="E65" s="12"/>
      <c r="F65" s="12"/>
      <c r="G65" s="12"/>
      <c r="H65" s="12"/>
      <c r="I65" s="12"/>
      <c r="J65" s="12"/>
      <c r="K65" s="12"/>
      <c r="L65" s="13"/>
      <c r="M65" s="14"/>
      <c r="N65" s="9"/>
      <c r="O65" s="9"/>
      <c r="P65" s="9"/>
      <c r="Q65" s="9"/>
      <c r="S65" s="352"/>
    </row>
    <row r="66" spans="1:19" s="8" customFormat="1" ht="28" customHeight="1">
      <c r="A66" s="10"/>
      <c r="B66" s="10"/>
      <c r="C66" s="10"/>
      <c r="D66" s="11"/>
      <c r="E66" s="12"/>
      <c r="F66" s="12"/>
      <c r="G66" s="12"/>
      <c r="H66" s="12"/>
      <c r="I66" s="12"/>
      <c r="J66" s="12"/>
      <c r="K66" s="12"/>
      <c r="L66" s="13"/>
      <c r="M66" s="14"/>
      <c r="N66" s="9"/>
      <c r="O66" s="9"/>
      <c r="P66" s="9"/>
      <c r="Q66" s="9"/>
      <c r="S66" s="352"/>
    </row>
    <row r="67" spans="1:19" s="8" customFormat="1" ht="28" customHeight="1">
      <c r="A67" s="10"/>
      <c r="B67" s="10"/>
      <c r="C67" s="10"/>
      <c r="D67" s="11"/>
      <c r="E67" s="12"/>
      <c r="F67" s="12"/>
      <c r="G67" s="12"/>
      <c r="H67" s="12"/>
      <c r="I67" s="12"/>
      <c r="J67" s="12"/>
      <c r="K67" s="12"/>
      <c r="L67" s="13"/>
      <c r="M67" s="14"/>
      <c r="N67" s="9"/>
      <c r="O67" s="9"/>
      <c r="P67" s="9"/>
      <c r="Q67" s="9"/>
      <c r="S67" s="352"/>
    </row>
    <row r="68" spans="1:19" s="8" customFormat="1" ht="28" customHeight="1">
      <c r="A68" s="10"/>
      <c r="B68" s="10"/>
      <c r="C68" s="10"/>
      <c r="D68" s="11"/>
      <c r="E68" s="12"/>
      <c r="F68" s="12"/>
      <c r="G68" s="12"/>
      <c r="H68" s="12"/>
      <c r="I68" s="12"/>
      <c r="J68" s="12"/>
      <c r="K68" s="12"/>
      <c r="L68" s="13"/>
      <c r="M68" s="14"/>
      <c r="N68" s="9"/>
      <c r="O68" s="9"/>
      <c r="P68" s="9"/>
      <c r="Q68" s="9"/>
      <c r="S68" s="352"/>
    </row>
    <row r="69" spans="1:19" s="8" customFormat="1" ht="28" customHeight="1">
      <c r="A69" s="10"/>
      <c r="B69" s="10"/>
      <c r="C69" s="10"/>
      <c r="D69" s="11"/>
      <c r="E69" s="12"/>
      <c r="F69" s="12"/>
      <c r="G69" s="12"/>
      <c r="H69" s="12"/>
      <c r="I69" s="12"/>
      <c r="J69" s="12"/>
      <c r="K69" s="12"/>
      <c r="L69" s="13"/>
      <c r="M69" s="14"/>
      <c r="N69" s="9"/>
      <c r="O69" s="9"/>
      <c r="P69" s="9"/>
      <c r="Q69" s="9"/>
      <c r="S69" s="352"/>
    </row>
    <row r="70" spans="1:19" s="8" customFormat="1" ht="28" customHeight="1">
      <c r="A70" s="10"/>
      <c r="B70" s="10"/>
      <c r="C70" s="10"/>
      <c r="D70" s="11"/>
      <c r="E70" s="12"/>
      <c r="F70" s="12"/>
      <c r="G70" s="12"/>
      <c r="H70" s="12"/>
      <c r="I70" s="12"/>
      <c r="J70" s="12"/>
      <c r="K70" s="12"/>
      <c r="L70" s="13"/>
      <c r="M70" s="14"/>
      <c r="N70" s="9"/>
      <c r="O70" s="9"/>
      <c r="P70" s="9"/>
      <c r="Q70" s="9"/>
      <c r="S70" s="352"/>
    </row>
    <row r="71" spans="1:19" s="8" customFormat="1" ht="28" customHeight="1">
      <c r="A71" s="10"/>
      <c r="B71" s="10"/>
      <c r="C71" s="10"/>
      <c r="D71" s="11"/>
      <c r="E71" s="12"/>
      <c r="F71" s="12"/>
      <c r="G71" s="12"/>
      <c r="H71" s="12"/>
      <c r="I71" s="12"/>
      <c r="J71" s="12"/>
      <c r="K71" s="12"/>
      <c r="L71" s="13"/>
      <c r="M71" s="14"/>
      <c r="N71" s="9"/>
      <c r="O71" s="9"/>
      <c r="P71" s="9"/>
      <c r="Q71" s="9"/>
      <c r="S71" s="352"/>
    </row>
    <row r="72" spans="1:19" s="8" customFormat="1" ht="28" customHeight="1">
      <c r="A72" s="10"/>
      <c r="B72" s="10"/>
      <c r="C72" s="10"/>
      <c r="D72" s="11"/>
      <c r="E72" s="12"/>
      <c r="F72" s="12"/>
      <c r="G72" s="12"/>
      <c r="H72" s="12"/>
      <c r="I72" s="12"/>
      <c r="J72" s="12"/>
      <c r="K72" s="12"/>
      <c r="L72" s="13"/>
      <c r="M72" s="14"/>
      <c r="N72" s="9"/>
      <c r="O72" s="9"/>
      <c r="P72" s="9"/>
      <c r="Q72" s="9"/>
      <c r="S72" s="352"/>
    </row>
    <row r="73" spans="1:19" s="8" customFormat="1" ht="28" customHeight="1">
      <c r="A73" s="10"/>
      <c r="B73" s="10"/>
      <c r="C73" s="10"/>
      <c r="D73" s="11"/>
      <c r="E73" s="12"/>
      <c r="F73" s="12"/>
      <c r="G73" s="12"/>
      <c r="H73" s="12"/>
      <c r="I73" s="12"/>
      <c r="J73" s="12"/>
      <c r="K73" s="12"/>
      <c r="L73" s="13"/>
      <c r="M73" s="14"/>
      <c r="N73" s="9"/>
      <c r="O73" s="9"/>
      <c r="P73" s="9"/>
      <c r="Q73" s="9"/>
      <c r="S73" s="352"/>
    </row>
    <row r="74" spans="1:19" s="8" customFormat="1" ht="28" customHeight="1">
      <c r="A74" s="10"/>
      <c r="B74" s="10"/>
      <c r="C74" s="10"/>
      <c r="D74" s="11"/>
      <c r="E74" s="12"/>
      <c r="F74" s="12"/>
      <c r="G74" s="12"/>
      <c r="H74" s="12"/>
      <c r="I74" s="12"/>
      <c r="J74" s="12"/>
      <c r="K74" s="12"/>
      <c r="L74" s="13"/>
      <c r="M74" s="14"/>
      <c r="N74" s="9"/>
      <c r="O74" s="9"/>
      <c r="P74" s="9"/>
      <c r="Q74" s="9"/>
      <c r="S74" s="352"/>
    </row>
    <row r="75" spans="1:19" s="8" customFormat="1" ht="28" customHeight="1">
      <c r="A75" s="10"/>
      <c r="B75" s="10"/>
      <c r="C75" s="10"/>
      <c r="D75" s="11"/>
      <c r="E75" s="12"/>
      <c r="F75" s="12"/>
      <c r="G75" s="12"/>
      <c r="H75" s="12"/>
      <c r="I75" s="12"/>
      <c r="J75" s="12"/>
      <c r="K75" s="12"/>
      <c r="L75" s="13"/>
      <c r="M75" s="14"/>
      <c r="N75" s="9"/>
      <c r="O75" s="9"/>
      <c r="P75" s="9"/>
      <c r="Q75" s="9"/>
      <c r="S75" s="352"/>
    </row>
    <row r="76" spans="1:19" s="8" customFormat="1" ht="28" customHeight="1">
      <c r="A76" s="10"/>
      <c r="B76" s="10"/>
      <c r="C76" s="10"/>
      <c r="D76" s="11"/>
      <c r="E76" s="12"/>
      <c r="F76" s="12"/>
      <c r="G76" s="12"/>
      <c r="H76" s="12"/>
      <c r="I76" s="12"/>
      <c r="J76" s="12"/>
      <c r="K76" s="12"/>
      <c r="L76" s="13"/>
      <c r="M76" s="14"/>
      <c r="N76" s="9"/>
      <c r="O76" s="9"/>
      <c r="P76" s="9"/>
      <c r="Q76" s="9"/>
      <c r="S76" s="352"/>
    </row>
    <row r="77" spans="1:19" s="8" customFormat="1" ht="28" customHeight="1">
      <c r="A77" s="10"/>
      <c r="B77" s="10"/>
      <c r="C77" s="10"/>
      <c r="D77" s="11"/>
      <c r="E77" s="12"/>
      <c r="F77" s="12"/>
      <c r="G77" s="12"/>
      <c r="H77" s="12"/>
      <c r="I77" s="12"/>
      <c r="J77" s="12"/>
      <c r="K77" s="12"/>
      <c r="L77" s="13"/>
      <c r="M77" s="14"/>
      <c r="N77" s="9"/>
      <c r="O77" s="9"/>
      <c r="P77" s="9"/>
      <c r="Q77" s="9"/>
      <c r="S77" s="352"/>
    </row>
    <row r="78" spans="1:19" s="8" customFormat="1" ht="28" customHeight="1">
      <c r="A78" s="10"/>
      <c r="B78" s="10"/>
      <c r="C78" s="10"/>
      <c r="D78" s="11"/>
      <c r="E78" s="12"/>
      <c r="F78" s="12"/>
      <c r="G78" s="12"/>
      <c r="H78" s="12"/>
      <c r="I78" s="12"/>
      <c r="J78" s="12"/>
      <c r="K78" s="12"/>
      <c r="L78" s="13"/>
      <c r="M78" s="14"/>
      <c r="N78" s="9"/>
      <c r="O78" s="9"/>
      <c r="P78" s="9"/>
      <c r="Q78" s="9"/>
      <c r="S78" s="352"/>
    </row>
    <row r="79" spans="1:19" s="8" customFormat="1" ht="28" customHeight="1">
      <c r="A79" s="10"/>
      <c r="B79" s="10"/>
      <c r="C79" s="10"/>
      <c r="D79" s="11"/>
      <c r="E79" s="12"/>
      <c r="F79" s="12"/>
      <c r="G79" s="12"/>
      <c r="H79" s="12"/>
      <c r="I79" s="12"/>
      <c r="J79" s="12"/>
      <c r="K79" s="12"/>
      <c r="L79" s="13"/>
      <c r="M79" s="14"/>
      <c r="N79" s="9"/>
      <c r="O79" s="9"/>
      <c r="P79" s="9"/>
      <c r="Q79" s="9"/>
      <c r="S79" s="352"/>
    </row>
    <row r="80" spans="1:19" s="8" customFormat="1" ht="28" customHeight="1">
      <c r="A80" s="10"/>
      <c r="B80" s="10"/>
      <c r="C80" s="10"/>
      <c r="D80" s="11"/>
      <c r="E80" s="12"/>
      <c r="F80" s="12"/>
      <c r="G80" s="12"/>
      <c r="H80" s="12"/>
      <c r="I80" s="12"/>
      <c r="J80" s="12"/>
      <c r="K80" s="12"/>
      <c r="L80" s="13"/>
      <c r="M80" s="14"/>
      <c r="N80" s="9"/>
      <c r="O80" s="9"/>
      <c r="P80" s="9"/>
      <c r="Q80" s="9"/>
      <c r="S80" s="352"/>
    </row>
    <row r="81" spans="1:19" s="8" customFormat="1" ht="28" customHeight="1">
      <c r="A81" s="10"/>
      <c r="B81" s="10"/>
      <c r="C81" s="10"/>
      <c r="D81" s="11"/>
      <c r="E81" s="12"/>
      <c r="F81" s="12"/>
      <c r="G81" s="12"/>
      <c r="H81" s="12"/>
      <c r="I81" s="12"/>
      <c r="J81" s="12"/>
      <c r="K81" s="12"/>
      <c r="L81" s="13"/>
      <c r="M81" s="14"/>
      <c r="N81" s="9"/>
      <c r="O81" s="9"/>
      <c r="P81" s="9"/>
      <c r="Q81" s="9"/>
      <c r="S81" s="352"/>
    </row>
    <row r="82" spans="1:19" s="8" customFormat="1" ht="28" customHeight="1">
      <c r="A82" s="10"/>
      <c r="B82" s="10"/>
      <c r="C82" s="10"/>
      <c r="D82" s="11"/>
      <c r="E82" s="12"/>
      <c r="F82" s="12"/>
      <c r="G82" s="12"/>
      <c r="H82" s="12"/>
      <c r="I82" s="12"/>
      <c r="J82" s="12"/>
      <c r="K82" s="12"/>
      <c r="L82" s="13"/>
      <c r="M82" s="14"/>
      <c r="N82" s="9"/>
      <c r="O82" s="9"/>
      <c r="P82" s="9"/>
      <c r="Q82" s="9"/>
      <c r="S82" s="352"/>
    </row>
    <row r="83" spans="1:19" s="8" customFormat="1" ht="28" customHeight="1">
      <c r="A83" s="10"/>
      <c r="B83" s="10"/>
      <c r="C83" s="10"/>
      <c r="D83" s="11"/>
      <c r="E83" s="12"/>
      <c r="F83" s="12"/>
      <c r="G83" s="12"/>
      <c r="H83" s="12"/>
      <c r="I83" s="12"/>
      <c r="J83" s="12"/>
      <c r="K83" s="12"/>
      <c r="L83" s="13"/>
      <c r="M83" s="14"/>
      <c r="N83" s="9"/>
      <c r="O83" s="9"/>
      <c r="P83" s="9"/>
      <c r="Q83" s="9"/>
      <c r="S83" s="352"/>
    </row>
    <row r="84" spans="1:19" ht="14"/>
    <row r="85" spans="1:19" ht="14"/>
    <row r="86" spans="1:19" ht="14"/>
    <row r="87" spans="1:19" ht="14"/>
    <row r="88" spans="1:19" ht="14"/>
    <row r="89" spans="1:19" ht="14"/>
    <row r="90" spans="1:19" ht="14"/>
    <row r="91" spans="1:19" ht="14"/>
    <row r="92" spans="1:19" ht="14"/>
    <row r="93" spans="1:19" ht="14"/>
    <row r="94" spans="1:19" ht="14"/>
  </sheetData>
  <autoFilter ref="A2:S57" xr:uid="{D8849F4D-BC53-4E79-85FE-6141172F73E3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</autoFilter>
  <mergeCells count="74">
    <mergeCell ref="A1:R1"/>
    <mergeCell ref="A2:A3"/>
    <mergeCell ref="B2:B3"/>
    <mergeCell ref="C2:C3"/>
    <mergeCell ref="D2:K2"/>
    <mergeCell ref="L2:P2"/>
    <mergeCell ref="R2:R3"/>
    <mergeCell ref="Q2:Q3"/>
    <mergeCell ref="S2:S3"/>
    <mergeCell ref="A4:A5"/>
    <mergeCell ref="B4:B5"/>
    <mergeCell ref="K4:K5"/>
    <mergeCell ref="R4:R5"/>
    <mergeCell ref="S4:S5"/>
    <mergeCell ref="Q4:Q5"/>
    <mergeCell ref="S7:S8"/>
    <mergeCell ref="A9:A13"/>
    <mergeCell ref="B9:B13"/>
    <mergeCell ref="K9:K13"/>
    <mergeCell ref="R9:R13"/>
    <mergeCell ref="Q7:Q8"/>
    <mergeCell ref="Q9:Q13"/>
    <mergeCell ref="S9:S13"/>
    <mergeCell ref="A7:A8"/>
    <mergeCell ref="B7:B8"/>
    <mergeCell ref="K7:K8"/>
    <mergeCell ref="R7:R8"/>
    <mergeCell ref="A15:A17"/>
    <mergeCell ref="B15:B17"/>
    <mergeCell ref="K15:K17"/>
    <mergeCell ref="R15:R17"/>
    <mergeCell ref="Q15:Q17"/>
    <mergeCell ref="A36:A37"/>
    <mergeCell ref="B36:B37"/>
    <mergeCell ref="R36:R37"/>
    <mergeCell ref="S36:S37"/>
    <mergeCell ref="A21:A22"/>
    <mergeCell ref="B21:B22"/>
    <mergeCell ref="K21:K22"/>
    <mergeCell ref="R21:R22"/>
    <mergeCell ref="Q21:Q22"/>
    <mergeCell ref="Q36:Q37"/>
    <mergeCell ref="S15:S17"/>
    <mergeCell ref="S21:S22"/>
    <mergeCell ref="A57:P57"/>
    <mergeCell ref="A44:B44"/>
    <mergeCell ref="C44:P44"/>
    <mergeCell ref="A45:B55"/>
    <mergeCell ref="C45:P45"/>
    <mergeCell ref="C46:P46"/>
    <mergeCell ref="C47:P47"/>
    <mergeCell ref="C48:P48"/>
    <mergeCell ref="C49:P49"/>
    <mergeCell ref="C50:P50"/>
    <mergeCell ref="C51:P51"/>
    <mergeCell ref="C52:P52"/>
    <mergeCell ref="C53:P53"/>
    <mergeCell ref="C54:P54"/>
    <mergeCell ref="C55:P55"/>
    <mergeCell ref="S38:S39"/>
    <mergeCell ref="S40:S41"/>
    <mergeCell ref="A56:R56"/>
    <mergeCell ref="A40:A41"/>
    <mergeCell ref="B40:B41"/>
    <mergeCell ref="K40:K41"/>
    <mergeCell ref="R40:R41"/>
    <mergeCell ref="R38:R39"/>
    <mergeCell ref="A38:A39"/>
    <mergeCell ref="B38:B39"/>
    <mergeCell ref="K38:K39"/>
    <mergeCell ref="L38:L39"/>
    <mergeCell ref="M38:M39"/>
    <mergeCell ref="Q38:Q39"/>
    <mergeCell ref="Q40:Q41"/>
  </mergeCells>
  <phoneticPr fontId="22" type="noConversion"/>
  <conditionalFormatting sqref="J4">
    <cfRule type="expression" dxfId="21" priority="12">
      <formula>I4=""</formula>
    </cfRule>
  </conditionalFormatting>
  <conditionalFormatting sqref="J7">
    <cfRule type="expression" dxfId="20" priority="4">
      <formula>I7=""</formula>
    </cfRule>
  </conditionalFormatting>
  <conditionalFormatting sqref="J21">
    <cfRule type="expression" dxfId="19" priority="7">
      <formula>I21=""</formula>
    </cfRule>
  </conditionalFormatting>
  <conditionalFormatting sqref="K4:K8">
    <cfRule type="expression" dxfId="18" priority="1">
      <formula>J4=""</formula>
    </cfRule>
  </conditionalFormatting>
  <conditionalFormatting sqref="K21:K22">
    <cfRule type="expression" dxfId="17" priority="6">
      <formula>J21=""</formula>
    </cfRule>
  </conditionalFormatting>
  <conditionalFormatting sqref="L4:M4">
    <cfRule type="expression" dxfId="16" priority="3">
      <formula>J4=""</formula>
    </cfRule>
  </conditionalFormatting>
  <conditionalFormatting sqref="L7:M7">
    <cfRule type="expression" dxfId="15" priority="5">
      <formula>J7=""</formula>
    </cfRule>
  </conditionalFormatting>
  <conditionalFormatting sqref="L21:M21">
    <cfRule type="expression" dxfId="14" priority="8">
      <formula>J21=""</formula>
    </cfRule>
  </conditionalFormatting>
  <conditionalFormatting sqref="N4">
    <cfRule type="expression" dxfId="13" priority="2">
      <formula>M4=""</formula>
    </cfRule>
  </conditionalFormatting>
  <conditionalFormatting sqref="N6 N8 N10:N13 N15 N17 N19 N21 N23 N25 N27 N29 N31 N33 N35 N37 N39 N42">
    <cfRule type="expression" dxfId="12" priority="9">
      <formula>M6=""</formula>
    </cfRule>
  </conditionalFormatting>
  <conditionalFormatting sqref="O4:Q4 O5:P5 O6:Q7 O8:P8 O9:Q9 O10:P13 O14:Q15 O16:P17 O18:Q21 O22:P22 O23:Q36 O37:P37 O38:Q38 O39:P39 O40:Q40 O41:P41 O42:Q42">
    <cfRule type="expression" dxfId="11" priority="10">
      <formula>#REF!=""</formula>
    </cfRule>
  </conditionalFormatting>
  <conditionalFormatting sqref="R4:R8">
    <cfRule type="expression" dxfId="10" priority="11">
      <formula>#REF!=""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B0FF-DFD2-4F8C-8B37-AE321F9F6E31}">
  <dimension ref="A1:U95"/>
  <sheetViews>
    <sheetView tabSelected="1" workbookViewId="0">
      <pane ySplit="1" topLeftCell="A24" activePane="bottomLeft" state="frozen"/>
      <selection pane="bottomLeft" activeCell="S38" sqref="S38:U39"/>
    </sheetView>
  </sheetViews>
  <sheetFormatPr defaultColWidth="8.6640625" defaultRowHeight="28" customHeight="1" thickTop="1" thickBottom="1"/>
  <cols>
    <col min="1" max="1" width="4.75" style="428" customWidth="1"/>
    <col min="2" max="2" width="26.5" style="428" bestFit="1" customWidth="1"/>
    <col min="3" max="3" width="7.33203125" style="428" bestFit="1" customWidth="1"/>
    <col min="4" max="4" width="9.33203125" style="429" bestFit="1" customWidth="1"/>
    <col min="5" max="6" width="9.33203125" style="430" bestFit="1" customWidth="1"/>
    <col min="7" max="7" width="5.33203125" style="430" bestFit="1" customWidth="1"/>
    <col min="8" max="8" width="7.33203125" style="430" bestFit="1" customWidth="1"/>
    <col min="9" max="9" width="7.08203125" style="430" bestFit="1" customWidth="1"/>
    <col min="10" max="11" width="12.1640625" style="430" bestFit="1" customWidth="1"/>
    <col min="12" max="12" width="10" style="431" hidden="1" customWidth="1"/>
    <col min="13" max="13" width="10" style="432" hidden="1" customWidth="1"/>
    <col min="14" max="14" width="9.4140625" style="379" hidden="1" customWidth="1"/>
    <col min="15" max="15" width="7.08203125" style="379" hidden="1" customWidth="1"/>
    <col min="16" max="16" width="10" style="379" hidden="1" customWidth="1"/>
    <col min="17" max="17" width="14.58203125" style="433" customWidth="1"/>
    <col min="18" max="18" width="10.9140625" style="379" bestFit="1" customWidth="1"/>
    <col min="19" max="16384" width="8.6640625" style="379"/>
  </cols>
  <sheetData>
    <row r="1" spans="1:17" ht="36" customHeight="1" thickTop="1" thickBot="1">
      <c r="A1" s="644" t="s">
        <v>248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378"/>
    </row>
    <row r="2" spans="1:17" ht="32.15" customHeight="1" thickTop="1" thickBot="1">
      <c r="A2" s="645" t="s">
        <v>1</v>
      </c>
      <c r="B2" s="646" t="s">
        <v>210</v>
      </c>
      <c r="C2" s="646" t="s">
        <v>211</v>
      </c>
      <c r="D2" s="645" t="s">
        <v>201</v>
      </c>
      <c r="E2" s="645"/>
      <c r="F2" s="645"/>
      <c r="G2" s="645"/>
      <c r="H2" s="645"/>
      <c r="I2" s="645"/>
      <c r="J2" s="645"/>
      <c r="K2" s="645"/>
      <c r="L2" s="647" t="s">
        <v>202</v>
      </c>
      <c r="M2" s="647"/>
      <c r="N2" s="647"/>
      <c r="O2" s="647"/>
      <c r="P2" s="647"/>
      <c r="Q2" s="652" t="s">
        <v>14</v>
      </c>
    </row>
    <row r="3" spans="1:17" s="384" customFormat="1" ht="30" customHeight="1" thickTop="1" thickBot="1">
      <c r="A3" s="645"/>
      <c r="B3" s="646"/>
      <c r="C3" s="646"/>
      <c r="D3" s="380" t="s">
        <v>4</v>
      </c>
      <c r="E3" s="381" t="s">
        <v>205</v>
      </c>
      <c r="F3" s="381" t="s">
        <v>206</v>
      </c>
      <c r="G3" s="382" t="s">
        <v>7</v>
      </c>
      <c r="H3" s="382" t="s">
        <v>8</v>
      </c>
      <c r="I3" s="382" t="s">
        <v>9</v>
      </c>
      <c r="J3" s="381" t="s">
        <v>207</v>
      </c>
      <c r="K3" s="381" t="s">
        <v>208</v>
      </c>
      <c r="L3" s="383" t="s">
        <v>203</v>
      </c>
      <c r="M3" s="383" t="s">
        <v>204</v>
      </c>
      <c r="N3" s="382" t="s">
        <v>195</v>
      </c>
      <c r="O3" s="381" t="s">
        <v>209</v>
      </c>
      <c r="P3" s="381" t="s">
        <v>208</v>
      </c>
      <c r="Q3" s="652"/>
    </row>
    <row r="4" spans="1:17" s="394" customFormat="1" ht="30" customHeight="1" thickTop="1" thickBot="1">
      <c r="A4" s="653">
        <v>1</v>
      </c>
      <c r="B4" s="654" t="s">
        <v>15</v>
      </c>
      <c r="C4" s="386" t="s">
        <v>16</v>
      </c>
      <c r="D4" s="387">
        <v>135407</v>
      </c>
      <c r="E4" s="388">
        <v>1683.4</v>
      </c>
      <c r="F4" s="388">
        <v>1622.2</v>
      </c>
      <c r="G4" s="388">
        <v>60</v>
      </c>
      <c r="H4" s="388">
        <f t="shared" ref="H4:H34" si="0">(E4-F4)*G4</f>
        <v>3672.0000000000027</v>
      </c>
      <c r="I4" s="389">
        <v>1.1000000000000001</v>
      </c>
      <c r="J4" s="389">
        <f t="shared" ref="J4:J34" si="1">H4*I4</f>
        <v>4039.2000000000035</v>
      </c>
      <c r="K4" s="655">
        <f>J4+J5</f>
        <v>5253.600000000004</v>
      </c>
      <c r="L4" s="390">
        <v>146</v>
      </c>
      <c r="M4" s="390">
        <v>146</v>
      </c>
      <c r="N4" s="391">
        <f t="shared" ref="N4:N40" si="2">M4-L4</f>
        <v>0</v>
      </c>
      <c r="O4" s="392">
        <v>4.4000000000000004</v>
      </c>
      <c r="P4" s="392">
        <f t="shared" ref="P4:P40" si="3">O4*N4</f>
        <v>0</v>
      </c>
      <c r="Q4" s="656">
        <v>5253</v>
      </c>
    </row>
    <row r="5" spans="1:17" s="394" customFormat="1" ht="30" customHeight="1" thickTop="1" thickBot="1">
      <c r="A5" s="653"/>
      <c r="B5" s="654"/>
      <c r="C5" s="386" t="s">
        <v>17</v>
      </c>
      <c r="D5" s="387">
        <v>222933</v>
      </c>
      <c r="E5" s="388">
        <v>16280</v>
      </c>
      <c r="F5" s="388">
        <v>15176</v>
      </c>
      <c r="G5" s="388">
        <v>1</v>
      </c>
      <c r="H5" s="388">
        <f t="shared" si="0"/>
        <v>1104</v>
      </c>
      <c r="I5" s="389">
        <v>1.1000000000000001</v>
      </c>
      <c r="J5" s="389">
        <f t="shared" si="1"/>
        <v>1214.4000000000001</v>
      </c>
      <c r="K5" s="655"/>
      <c r="L5" s="390">
        <v>325</v>
      </c>
      <c r="M5" s="390">
        <v>325</v>
      </c>
      <c r="N5" s="391">
        <f t="shared" si="2"/>
        <v>0</v>
      </c>
      <c r="O5" s="392">
        <v>4.4000000000000004</v>
      </c>
      <c r="P5" s="392">
        <f t="shared" si="3"/>
        <v>0</v>
      </c>
      <c r="Q5" s="656"/>
    </row>
    <row r="6" spans="1:17" s="404" customFormat="1" ht="30" customHeight="1" thickTop="1" thickBot="1">
      <c r="A6" s="649">
        <v>2</v>
      </c>
      <c r="B6" s="650" t="s">
        <v>18</v>
      </c>
      <c r="C6" s="396" t="s">
        <v>16</v>
      </c>
      <c r="D6" s="397">
        <v>135406</v>
      </c>
      <c r="E6" s="398">
        <v>747.4</v>
      </c>
      <c r="F6" s="398">
        <v>704.4</v>
      </c>
      <c r="G6" s="398">
        <v>40</v>
      </c>
      <c r="H6" s="398">
        <f t="shared" si="0"/>
        <v>1720</v>
      </c>
      <c r="I6" s="399">
        <v>1.1000000000000001</v>
      </c>
      <c r="J6" s="399">
        <f t="shared" si="1"/>
        <v>1892.0000000000002</v>
      </c>
      <c r="K6" s="651">
        <f>J6+J7</f>
        <v>1922.8000000000002</v>
      </c>
      <c r="L6" s="400">
        <v>239</v>
      </c>
      <c r="M6" s="400">
        <v>239</v>
      </c>
      <c r="N6" s="401">
        <f t="shared" si="2"/>
        <v>0</v>
      </c>
      <c r="O6" s="402">
        <v>4.4000000000000004</v>
      </c>
      <c r="P6" s="402">
        <f t="shared" si="3"/>
        <v>0</v>
      </c>
      <c r="Q6" s="657">
        <v>1922</v>
      </c>
    </row>
    <row r="7" spans="1:17" s="404" customFormat="1" ht="30" customHeight="1" thickTop="1" thickBot="1">
      <c r="A7" s="649"/>
      <c r="B7" s="650"/>
      <c r="C7" s="396" t="s">
        <v>243</v>
      </c>
      <c r="D7" s="397" t="s">
        <v>244</v>
      </c>
      <c r="E7" s="398">
        <v>284</v>
      </c>
      <c r="F7" s="398">
        <v>256</v>
      </c>
      <c r="G7" s="398">
        <v>1</v>
      </c>
      <c r="H7" s="398">
        <f t="shared" si="0"/>
        <v>28</v>
      </c>
      <c r="I7" s="399">
        <v>1.1000000000000001</v>
      </c>
      <c r="J7" s="399">
        <f t="shared" si="1"/>
        <v>30.800000000000004</v>
      </c>
      <c r="K7" s="651"/>
      <c r="L7" s="400"/>
      <c r="M7" s="400"/>
      <c r="N7" s="401"/>
      <c r="O7" s="402"/>
      <c r="P7" s="402"/>
      <c r="Q7" s="658"/>
    </row>
    <row r="8" spans="1:17" s="394" customFormat="1" ht="30" customHeight="1" thickTop="1" thickBot="1">
      <c r="A8" s="653">
        <v>3</v>
      </c>
      <c r="B8" s="654" t="s">
        <v>20</v>
      </c>
      <c r="C8" s="386" t="s">
        <v>16</v>
      </c>
      <c r="D8" s="387">
        <v>135400</v>
      </c>
      <c r="E8" s="388">
        <v>17</v>
      </c>
      <c r="F8" s="388">
        <v>16.600000000000001</v>
      </c>
      <c r="G8" s="388">
        <v>40</v>
      </c>
      <c r="H8" s="388">
        <f t="shared" si="0"/>
        <v>15.999999999999943</v>
      </c>
      <c r="I8" s="389">
        <v>1.1000000000000001</v>
      </c>
      <c r="J8" s="389">
        <f t="shared" si="1"/>
        <v>17.599999999999937</v>
      </c>
      <c r="K8" s="655">
        <f>J8+J9+J10</f>
        <v>262.89999999999998</v>
      </c>
      <c r="L8" s="390">
        <v>79</v>
      </c>
      <c r="M8" s="390">
        <v>79</v>
      </c>
      <c r="N8" s="391">
        <f t="shared" si="2"/>
        <v>0</v>
      </c>
      <c r="O8" s="392">
        <v>4.4000000000000004</v>
      </c>
      <c r="P8" s="392">
        <f t="shared" si="3"/>
        <v>0</v>
      </c>
      <c r="Q8" s="659">
        <v>262.89999999999998</v>
      </c>
    </row>
    <row r="9" spans="1:17" s="394" customFormat="1" ht="30" customHeight="1" thickTop="1" thickBot="1">
      <c r="A9" s="653"/>
      <c r="B9" s="654"/>
      <c r="C9" s="386" t="s">
        <v>17</v>
      </c>
      <c r="D9" s="387" t="s">
        <v>85</v>
      </c>
      <c r="E9" s="388">
        <v>1017</v>
      </c>
      <c r="F9" s="388">
        <v>980</v>
      </c>
      <c r="G9" s="388">
        <v>1</v>
      </c>
      <c r="H9" s="388">
        <f t="shared" si="0"/>
        <v>37</v>
      </c>
      <c r="I9" s="389">
        <v>1.1000000000000001</v>
      </c>
      <c r="J9" s="389">
        <f t="shared" si="1"/>
        <v>40.700000000000003</v>
      </c>
      <c r="K9" s="655"/>
      <c r="L9" s="390">
        <v>38</v>
      </c>
      <c r="M9" s="390">
        <v>38</v>
      </c>
      <c r="N9" s="391">
        <f t="shared" si="2"/>
        <v>0</v>
      </c>
      <c r="O9" s="392">
        <v>4.4000000000000004</v>
      </c>
      <c r="P9" s="392">
        <f t="shared" si="3"/>
        <v>0</v>
      </c>
      <c r="Q9" s="660"/>
    </row>
    <row r="10" spans="1:17" s="394" customFormat="1" ht="30" customHeight="1" thickTop="1" thickBot="1">
      <c r="A10" s="653"/>
      <c r="B10" s="654"/>
      <c r="C10" s="386" t="s">
        <v>17</v>
      </c>
      <c r="D10" s="387" t="s">
        <v>85</v>
      </c>
      <c r="E10" s="388">
        <v>186</v>
      </c>
      <c r="F10" s="388">
        <v>0</v>
      </c>
      <c r="G10" s="388">
        <v>1</v>
      </c>
      <c r="H10" s="388">
        <f t="shared" si="0"/>
        <v>186</v>
      </c>
      <c r="I10" s="389">
        <v>1.1000000000000001</v>
      </c>
      <c r="J10" s="389">
        <f t="shared" si="1"/>
        <v>204.60000000000002</v>
      </c>
      <c r="K10" s="655"/>
      <c r="L10" s="390"/>
      <c r="M10" s="390"/>
      <c r="N10" s="391"/>
      <c r="O10" s="392"/>
      <c r="P10" s="392"/>
      <c r="Q10" s="661"/>
    </row>
    <row r="11" spans="1:17" s="404" customFormat="1" ht="30" customHeight="1" thickTop="1" thickBot="1">
      <c r="A11" s="649">
        <v>4</v>
      </c>
      <c r="B11" s="650" t="s">
        <v>22</v>
      </c>
      <c r="C11" s="396" t="s">
        <v>16</v>
      </c>
      <c r="D11" s="397">
        <v>135405</v>
      </c>
      <c r="E11" s="398">
        <v>553.9</v>
      </c>
      <c r="F11" s="398">
        <v>552.5</v>
      </c>
      <c r="G11" s="398">
        <v>40</v>
      </c>
      <c r="H11" s="398">
        <f t="shared" si="0"/>
        <v>55.999999999999091</v>
      </c>
      <c r="I11" s="399">
        <v>1.1000000000000001</v>
      </c>
      <c r="J11" s="399">
        <f t="shared" si="1"/>
        <v>61.599999999999007</v>
      </c>
      <c r="K11" s="651">
        <f>J11+J12+J13</f>
        <v>958.09999999999911</v>
      </c>
      <c r="L11" s="400">
        <v>262</v>
      </c>
      <c r="M11" s="400">
        <v>262</v>
      </c>
      <c r="N11" s="401">
        <f t="shared" si="2"/>
        <v>0</v>
      </c>
      <c r="O11" s="402">
        <v>4.4000000000000004</v>
      </c>
      <c r="P11" s="402">
        <f t="shared" si="3"/>
        <v>0</v>
      </c>
      <c r="Q11" s="648">
        <v>958.1</v>
      </c>
    </row>
    <row r="12" spans="1:17" s="404" customFormat="1" ht="30" customHeight="1" thickTop="1" thickBot="1">
      <c r="A12" s="649"/>
      <c r="B12" s="650"/>
      <c r="C12" s="396" t="s">
        <v>241</v>
      </c>
      <c r="D12" s="397" t="s">
        <v>242</v>
      </c>
      <c r="E12" s="398">
        <v>18.2</v>
      </c>
      <c r="F12" s="398">
        <v>0</v>
      </c>
      <c r="G12" s="398">
        <v>40</v>
      </c>
      <c r="H12" s="398">
        <f t="shared" si="0"/>
        <v>728</v>
      </c>
      <c r="I12" s="399">
        <v>1.1000000000000001</v>
      </c>
      <c r="J12" s="399">
        <f t="shared" si="1"/>
        <v>800.80000000000007</v>
      </c>
      <c r="K12" s="651"/>
      <c r="L12" s="400"/>
      <c r="M12" s="400"/>
      <c r="N12" s="401"/>
      <c r="O12" s="402"/>
      <c r="P12" s="402"/>
      <c r="Q12" s="648"/>
    </row>
    <row r="13" spans="1:17" s="404" customFormat="1" ht="30" customHeight="1" thickTop="1" thickBot="1">
      <c r="A13" s="649"/>
      <c r="B13" s="650"/>
      <c r="C13" s="396" t="s">
        <v>225</v>
      </c>
      <c r="D13" s="397" t="s">
        <v>245</v>
      </c>
      <c r="E13" s="398">
        <v>4286</v>
      </c>
      <c r="F13" s="398">
        <v>4199</v>
      </c>
      <c r="G13" s="398">
        <v>1</v>
      </c>
      <c r="H13" s="398">
        <f t="shared" si="0"/>
        <v>87</v>
      </c>
      <c r="I13" s="399">
        <v>1.1000000000000001</v>
      </c>
      <c r="J13" s="399">
        <f t="shared" si="1"/>
        <v>95.7</v>
      </c>
      <c r="K13" s="651"/>
      <c r="L13" s="400"/>
      <c r="M13" s="400"/>
      <c r="N13" s="401"/>
      <c r="O13" s="402"/>
      <c r="P13" s="402"/>
      <c r="Q13" s="648"/>
    </row>
    <row r="14" spans="1:17" s="394" customFormat="1" ht="30" customHeight="1" thickTop="1" thickBot="1">
      <c r="A14" s="385">
        <v>5</v>
      </c>
      <c r="B14" s="386" t="s">
        <v>23</v>
      </c>
      <c r="C14" s="386" t="s">
        <v>16</v>
      </c>
      <c r="D14" s="387">
        <v>135401</v>
      </c>
      <c r="E14" s="388">
        <v>116.8</v>
      </c>
      <c r="F14" s="388">
        <v>109.9</v>
      </c>
      <c r="G14" s="388">
        <v>20</v>
      </c>
      <c r="H14" s="388">
        <f t="shared" si="0"/>
        <v>137.99999999999983</v>
      </c>
      <c r="I14" s="389">
        <v>1.1000000000000001</v>
      </c>
      <c r="J14" s="389">
        <f t="shared" si="1"/>
        <v>151.79999999999981</v>
      </c>
      <c r="K14" s="389">
        <f>J14</f>
        <v>151.79999999999981</v>
      </c>
      <c r="L14" s="390">
        <v>11</v>
      </c>
      <c r="M14" s="390">
        <v>11</v>
      </c>
      <c r="N14" s="391">
        <f t="shared" si="2"/>
        <v>0</v>
      </c>
      <c r="O14" s="392">
        <v>4.4000000000000004</v>
      </c>
      <c r="P14" s="392">
        <f t="shared" si="3"/>
        <v>0</v>
      </c>
      <c r="Q14" s="389">
        <v>152</v>
      </c>
    </row>
    <row r="15" spans="1:17" s="404" customFormat="1" ht="30" customHeight="1" thickTop="1" thickBot="1">
      <c r="A15" s="649">
        <v>6</v>
      </c>
      <c r="B15" s="650" t="s">
        <v>24</v>
      </c>
      <c r="C15" s="396" t="s">
        <v>25</v>
      </c>
      <c r="D15" s="397">
        <v>135402</v>
      </c>
      <c r="E15" s="398">
        <v>1029.9000000000001</v>
      </c>
      <c r="F15" s="398">
        <v>953.7</v>
      </c>
      <c r="G15" s="398">
        <v>20</v>
      </c>
      <c r="H15" s="398">
        <f t="shared" si="0"/>
        <v>1524.0000000000009</v>
      </c>
      <c r="I15" s="399">
        <v>1.1000000000000001</v>
      </c>
      <c r="J15" s="399">
        <f t="shared" si="1"/>
        <v>1676.4000000000012</v>
      </c>
      <c r="K15" s="651">
        <f>J15+J16</f>
        <v>2538.8000000000011</v>
      </c>
      <c r="L15" s="400">
        <v>283</v>
      </c>
      <c r="M15" s="400">
        <v>283</v>
      </c>
      <c r="N15" s="401">
        <f t="shared" si="2"/>
        <v>0</v>
      </c>
      <c r="O15" s="402">
        <v>4.4000000000000004</v>
      </c>
      <c r="P15" s="402">
        <f t="shared" si="3"/>
        <v>0</v>
      </c>
      <c r="Q15" s="648">
        <v>2538</v>
      </c>
    </row>
    <row r="16" spans="1:17" s="404" customFormat="1" ht="30" customHeight="1" thickTop="1" thickBot="1">
      <c r="A16" s="649"/>
      <c r="B16" s="650"/>
      <c r="C16" s="396" t="s">
        <v>166</v>
      </c>
      <c r="D16" s="397" t="s">
        <v>167</v>
      </c>
      <c r="E16" s="398">
        <v>62.9</v>
      </c>
      <c r="F16" s="398">
        <v>43.3</v>
      </c>
      <c r="G16" s="398">
        <v>40</v>
      </c>
      <c r="H16" s="398">
        <f t="shared" si="0"/>
        <v>784</v>
      </c>
      <c r="I16" s="399">
        <v>1.1000000000000001</v>
      </c>
      <c r="J16" s="399">
        <f t="shared" si="1"/>
        <v>862.40000000000009</v>
      </c>
      <c r="K16" s="651"/>
      <c r="L16" s="400"/>
      <c r="M16" s="400"/>
      <c r="N16" s="401">
        <f t="shared" si="2"/>
        <v>0</v>
      </c>
      <c r="O16" s="402">
        <v>4.4000000000000004</v>
      </c>
      <c r="P16" s="402">
        <f t="shared" si="3"/>
        <v>0</v>
      </c>
      <c r="Q16" s="648"/>
    </row>
    <row r="17" spans="1:17" s="394" customFormat="1" ht="30" customHeight="1" thickTop="1" thickBot="1">
      <c r="A17" s="385">
        <v>7</v>
      </c>
      <c r="B17" s="386" t="s">
        <v>27</v>
      </c>
      <c r="C17" s="386" t="s">
        <v>16</v>
      </c>
      <c r="D17" s="387">
        <v>136866</v>
      </c>
      <c r="E17" s="388">
        <v>296.2</v>
      </c>
      <c r="F17" s="388">
        <v>288.39999999999998</v>
      </c>
      <c r="G17" s="388">
        <v>20</v>
      </c>
      <c r="H17" s="388">
        <f t="shared" si="0"/>
        <v>156.00000000000023</v>
      </c>
      <c r="I17" s="389">
        <v>1.1000000000000001</v>
      </c>
      <c r="J17" s="389">
        <f t="shared" si="1"/>
        <v>171.60000000000025</v>
      </c>
      <c r="K17" s="389">
        <f>J17</f>
        <v>171.60000000000025</v>
      </c>
      <c r="L17" s="390">
        <v>32</v>
      </c>
      <c r="M17" s="390">
        <v>32</v>
      </c>
      <c r="N17" s="391">
        <f t="shared" si="2"/>
        <v>0</v>
      </c>
      <c r="O17" s="392">
        <v>4.4000000000000004</v>
      </c>
      <c r="P17" s="392">
        <f t="shared" si="3"/>
        <v>0</v>
      </c>
      <c r="Q17" s="393">
        <v>171.6</v>
      </c>
    </row>
    <row r="18" spans="1:17" s="404" customFormat="1" ht="30" customHeight="1" thickTop="1" thickBot="1">
      <c r="A18" s="395">
        <v>8</v>
      </c>
      <c r="B18" s="396" t="s">
        <v>28</v>
      </c>
      <c r="C18" s="396" t="s">
        <v>16</v>
      </c>
      <c r="D18" s="397">
        <v>135847</v>
      </c>
      <c r="E18" s="398">
        <v>299.5</v>
      </c>
      <c r="F18" s="398">
        <v>284.7</v>
      </c>
      <c r="G18" s="398">
        <v>40</v>
      </c>
      <c r="H18" s="398">
        <f t="shared" si="0"/>
        <v>592.00000000000045</v>
      </c>
      <c r="I18" s="399">
        <v>1.1000000000000001</v>
      </c>
      <c r="J18" s="399">
        <f t="shared" si="1"/>
        <v>651.2000000000005</v>
      </c>
      <c r="K18" s="399">
        <f>J18</f>
        <v>651.2000000000005</v>
      </c>
      <c r="L18" s="400">
        <v>91</v>
      </c>
      <c r="M18" s="400">
        <v>91</v>
      </c>
      <c r="N18" s="401">
        <f t="shared" si="2"/>
        <v>0</v>
      </c>
      <c r="O18" s="402">
        <v>4.4000000000000004</v>
      </c>
      <c r="P18" s="402">
        <f t="shared" si="3"/>
        <v>0</v>
      </c>
      <c r="Q18" s="403">
        <v>651</v>
      </c>
    </row>
    <row r="19" spans="1:17" s="394" customFormat="1" ht="30" customHeight="1" thickTop="1" thickBot="1">
      <c r="A19" s="385">
        <v>9</v>
      </c>
      <c r="B19" s="386" t="s">
        <v>29</v>
      </c>
      <c r="C19" s="386" t="s">
        <v>16</v>
      </c>
      <c r="D19" s="387">
        <v>135848</v>
      </c>
      <c r="E19" s="388">
        <v>1096.9000000000001</v>
      </c>
      <c r="F19" s="388">
        <v>1028.7</v>
      </c>
      <c r="G19" s="388">
        <v>40</v>
      </c>
      <c r="H19" s="388">
        <f t="shared" si="0"/>
        <v>2728.0000000000018</v>
      </c>
      <c r="I19" s="389">
        <v>1.1000000000000001</v>
      </c>
      <c r="J19" s="389">
        <f t="shared" si="1"/>
        <v>3000.8000000000025</v>
      </c>
      <c r="K19" s="389">
        <f>J19</f>
        <v>3000.8000000000025</v>
      </c>
      <c r="L19" s="390">
        <v>27</v>
      </c>
      <c r="M19" s="390">
        <v>27</v>
      </c>
      <c r="N19" s="391">
        <f t="shared" si="2"/>
        <v>0</v>
      </c>
      <c r="O19" s="392">
        <v>4.4000000000000004</v>
      </c>
      <c r="P19" s="392">
        <f t="shared" si="3"/>
        <v>0</v>
      </c>
      <c r="Q19" s="405">
        <v>3000</v>
      </c>
    </row>
    <row r="20" spans="1:17" s="404" customFormat="1" ht="30" customHeight="1" thickTop="1" thickBot="1">
      <c r="A20" s="649">
        <v>10</v>
      </c>
      <c r="B20" s="650" t="s">
        <v>31</v>
      </c>
      <c r="C20" s="396" t="s">
        <v>16</v>
      </c>
      <c r="D20" s="397">
        <v>135846</v>
      </c>
      <c r="E20" s="398">
        <v>937.8</v>
      </c>
      <c r="F20" s="398">
        <v>894.6</v>
      </c>
      <c r="G20" s="398">
        <v>40</v>
      </c>
      <c r="H20" s="398">
        <f t="shared" si="0"/>
        <v>1727.9999999999973</v>
      </c>
      <c r="I20" s="399">
        <v>1.1000000000000001</v>
      </c>
      <c r="J20" s="399">
        <f t="shared" si="1"/>
        <v>1900.7999999999972</v>
      </c>
      <c r="K20" s="651">
        <f>J20+J21</f>
        <v>3352.7999999999975</v>
      </c>
      <c r="L20" s="400">
        <v>10</v>
      </c>
      <c r="M20" s="400">
        <v>10</v>
      </c>
      <c r="N20" s="401">
        <f t="shared" si="2"/>
        <v>0</v>
      </c>
      <c r="O20" s="402">
        <v>4.4000000000000004</v>
      </c>
      <c r="P20" s="402">
        <f t="shared" si="3"/>
        <v>0</v>
      </c>
      <c r="Q20" s="670">
        <v>3352</v>
      </c>
    </row>
    <row r="21" spans="1:17" s="404" customFormat="1" ht="30" customHeight="1" thickTop="1" thickBot="1">
      <c r="A21" s="649"/>
      <c r="B21" s="650"/>
      <c r="C21" s="396"/>
      <c r="D21" s="397">
        <v>135379</v>
      </c>
      <c r="E21" s="398">
        <v>88.2</v>
      </c>
      <c r="F21" s="398">
        <v>71.7</v>
      </c>
      <c r="G21" s="398">
        <v>80</v>
      </c>
      <c r="H21" s="398">
        <f t="shared" si="0"/>
        <v>1320</v>
      </c>
      <c r="I21" s="399">
        <v>1.1000000000000001</v>
      </c>
      <c r="J21" s="399">
        <f t="shared" si="1"/>
        <v>1452.0000000000002</v>
      </c>
      <c r="K21" s="651"/>
      <c r="L21" s="400"/>
      <c r="M21" s="400"/>
      <c r="N21" s="401">
        <f t="shared" si="2"/>
        <v>0</v>
      </c>
      <c r="O21" s="402">
        <v>4.4000000000000004</v>
      </c>
      <c r="P21" s="402">
        <f t="shared" si="3"/>
        <v>0</v>
      </c>
      <c r="Q21" s="670"/>
    </row>
    <row r="22" spans="1:17" s="394" customFormat="1" ht="30" customHeight="1" thickTop="1" thickBot="1">
      <c r="A22" s="385">
        <v>11</v>
      </c>
      <c r="B22" s="386" t="s">
        <v>32</v>
      </c>
      <c r="C22" s="386" t="s">
        <v>16</v>
      </c>
      <c r="D22" s="387">
        <v>135845</v>
      </c>
      <c r="E22" s="388">
        <v>663.7</v>
      </c>
      <c r="F22" s="388">
        <v>621.79999999999995</v>
      </c>
      <c r="G22" s="388">
        <v>40</v>
      </c>
      <c r="H22" s="388">
        <f t="shared" si="0"/>
        <v>1676.0000000000036</v>
      </c>
      <c r="I22" s="389">
        <v>1.1000000000000001</v>
      </c>
      <c r="J22" s="389">
        <f t="shared" si="1"/>
        <v>1843.6000000000042</v>
      </c>
      <c r="K22" s="389">
        <f t="shared" ref="K22:K34" si="4">J22</f>
        <v>1843.6000000000042</v>
      </c>
      <c r="L22" s="390">
        <v>240</v>
      </c>
      <c r="M22" s="390">
        <v>240</v>
      </c>
      <c r="N22" s="391">
        <f t="shared" si="2"/>
        <v>0</v>
      </c>
      <c r="O22" s="392">
        <v>4.4000000000000004</v>
      </c>
      <c r="P22" s="392">
        <f t="shared" si="3"/>
        <v>0</v>
      </c>
      <c r="Q22" s="405">
        <v>1843</v>
      </c>
    </row>
    <row r="23" spans="1:17" s="404" customFormat="1" ht="30" customHeight="1" thickTop="1" thickBot="1">
      <c r="A23" s="395">
        <v>12</v>
      </c>
      <c r="B23" s="396" t="s">
        <v>33</v>
      </c>
      <c r="C23" s="396" t="s">
        <v>16</v>
      </c>
      <c r="D23" s="397">
        <v>135844</v>
      </c>
      <c r="E23" s="398">
        <v>102.3</v>
      </c>
      <c r="F23" s="398">
        <v>97.4</v>
      </c>
      <c r="G23" s="398">
        <v>30</v>
      </c>
      <c r="H23" s="398">
        <f t="shared" si="0"/>
        <v>146.99999999999974</v>
      </c>
      <c r="I23" s="399">
        <v>1.1000000000000001</v>
      </c>
      <c r="J23" s="399">
        <f t="shared" si="1"/>
        <v>161.69999999999973</v>
      </c>
      <c r="K23" s="399">
        <f t="shared" si="4"/>
        <v>161.69999999999973</v>
      </c>
      <c r="L23" s="400">
        <v>33</v>
      </c>
      <c r="M23" s="400">
        <v>33</v>
      </c>
      <c r="N23" s="401">
        <f t="shared" si="2"/>
        <v>0</v>
      </c>
      <c r="O23" s="402">
        <v>4.4000000000000004</v>
      </c>
      <c r="P23" s="402">
        <f t="shared" si="3"/>
        <v>0</v>
      </c>
      <c r="Q23" s="406">
        <v>161.69999999999999</v>
      </c>
    </row>
    <row r="24" spans="1:17" s="394" customFormat="1" ht="30" customHeight="1" thickTop="1" thickBot="1">
      <c r="A24" s="385">
        <v>13</v>
      </c>
      <c r="B24" s="386" t="s">
        <v>34</v>
      </c>
      <c r="C24" s="386" t="s">
        <v>16</v>
      </c>
      <c r="D24" s="387" t="s">
        <v>256</v>
      </c>
      <c r="E24" s="388">
        <v>148.4</v>
      </c>
      <c r="F24" s="388">
        <v>139.69999999999999</v>
      </c>
      <c r="G24" s="388">
        <v>30</v>
      </c>
      <c r="H24" s="388">
        <f t="shared" si="0"/>
        <v>261.00000000000051</v>
      </c>
      <c r="I24" s="389">
        <v>1.1000000000000001</v>
      </c>
      <c r="J24" s="389">
        <f t="shared" si="1"/>
        <v>287.10000000000059</v>
      </c>
      <c r="K24" s="389">
        <f t="shared" si="4"/>
        <v>287.10000000000059</v>
      </c>
      <c r="L24" s="390">
        <v>61</v>
      </c>
      <c r="M24" s="390">
        <v>61</v>
      </c>
      <c r="N24" s="391">
        <f t="shared" si="2"/>
        <v>0</v>
      </c>
      <c r="O24" s="392">
        <v>4.4000000000000004</v>
      </c>
      <c r="P24" s="392">
        <f t="shared" si="3"/>
        <v>0</v>
      </c>
      <c r="Q24" s="405">
        <v>287</v>
      </c>
    </row>
    <row r="25" spans="1:17" s="404" customFormat="1" ht="30" customHeight="1" thickTop="1" thickBot="1">
      <c r="A25" s="395">
        <v>14</v>
      </c>
      <c r="B25" s="396" t="s">
        <v>35</v>
      </c>
      <c r="C25" s="396" t="s">
        <v>16</v>
      </c>
      <c r="D25" s="397">
        <v>135850</v>
      </c>
      <c r="E25" s="398">
        <v>259.10000000000002</v>
      </c>
      <c r="F25" s="398">
        <v>248.8</v>
      </c>
      <c r="G25" s="398">
        <v>30</v>
      </c>
      <c r="H25" s="398">
        <f t="shared" si="0"/>
        <v>309.00000000000034</v>
      </c>
      <c r="I25" s="399">
        <v>1.1000000000000001</v>
      </c>
      <c r="J25" s="399">
        <f t="shared" si="1"/>
        <v>339.90000000000038</v>
      </c>
      <c r="K25" s="399">
        <f t="shared" si="4"/>
        <v>339.90000000000038</v>
      </c>
      <c r="L25" s="400">
        <v>46</v>
      </c>
      <c r="M25" s="400">
        <v>46</v>
      </c>
      <c r="N25" s="401">
        <f t="shared" si="2"/>
        <v>0</v>
      </c>
      <c r="O25" s="402">
        <v>4.4000000000000004</v>
      </c>
      <c r="P25" s="402">
        <f t="shared" si="3"/>
        <v>0</v>
      </c>
      <c r="Q25" s="406">
        <v>339.9</v>
      </c>
    </row>
    <row r="26" spans="1:17" s="394" customFormat="1" ht="30" customHeight="1" thickTop="1" thickBot="1">
      <c r="A26" s="385">
        <v>15</v>
      </c>
      <c r="B26" s="386" t="s">
        <v>36</v>
      </c>
      <c r="C26" s="386" t="s">
        <v>16</v>
      </c>
      <c r="D26" s="387">
        <v>135358</v>
      </c>
      <c r="E26" s="388">
        <v>326.5</v>
      </c>
      <c r="F26" s="388">
        <v>310.8</v>
      </c>
      <c r="G26" s="388">
        <v>40</v>
      </c>
      <c r="H26" s="388">
        <f t="shared" si="0"/>
        <v>627.99999999999955</v>
      </c>
      <c r="I26" s="389">
        <v>1.1000000000000001</v>
      </c>
      <c r="J26" s="389">
        <f t="shared" si="1"/>
        <v>690.7999999999995</v>
      </c>
      <c r="K26" s="389">
        <f t="shared" si="4"/>
        <v>690.7999999999995</v>
      </c>
      <c r="L26" s="390">
        <v>193</v>
      </c>
      <c r="M26" s="390">
        <v>193</v>
      </c>
      <c r="N26" s="391">
        <f t="shared" si="2"/>
        <v>0</v>
      </c>
      <c r="O26" s="392">
        <v>4.4000000000000004</v>
      </c>
      <c r="P26" s="392">
        <f t="shared" si="3"/>
        <v>0</v>
      </c>
      <c r="Q26" s="405">
        <v>690</v>
      </c>
    </row>
    <row r="27" spans="1:17" s="404" customFormat="1" ht="30" customHeight="1" thickTop="1" thickBot="1">
      <c r="A27" s="395">
        <v>16</v>
      </c>
      <c r="B27" s="396" t="s">
        <v>126</v>
      </c>
      <c r="C27" s="396" t="s">
        <v>16</v>
      </c>
      <c r="D27" s="397">
        <v>135380</v>
      </c>
      <c r="E27" s="398">
        <v>458.7</v>
      </c>
      <c r="F27" s="398">
        <v>436.9</v>
      </c>
      <c r="G27" s="398">
        <v>40</v>
      </c>
      <c r="H27" s="398">
        <f t="shared" si="0"/>
        <v>872.00000000000045</v>
      </c>
      <c r="I27" s="399">
        <v>1.1000000000000001</v>
      </c>
      <c r="J27" s="399">
        <f t="shared" si="1"/>
        <v>959.20000000000061</v>
      </c>
      <c r="K27" s="399">
        <f t="shared" si="4"/>
        <v>959.20000000000061</v>
      </c>
      <c r="L27" s="400">
        <v>207</v>
      </c>
      <c r="M27" s="400">
        <v>207</v>
      </c>
      <c r="N27" s="401">
        <f t="shared" si="2"/>
        <v>0</v>
      </c>
      <c r="O27" s="402">
        <v>4.4000000000000004</v>
      </c>
      <c r="P27" s="402">
        <f t="shared" si="3"/>
        <v>0</v>
      </c>
      <c r="Q27" s="406">
        <v>959</v>
      </c>
    </row>
    <row r="28" spans="1:17" s="394" customFormat="1" ht="30" customHeight="1" thickTop="1" thickBot="1">
      <c r="A28" s="385">
        <v>17</v>
      </c>
      <c r="B28" s="386" t="s">
        <v>38</v>
      </c>
      <c r="C28" s="386" t="s">
        <v>16</v>
      </c>
      <c r="D28" s="387">
        <v>135376</v>
      </c>
      <c r="E28" s="388">
        <v>50.6</v>
      </c>
      <c r="F28" s="388">
        <v>47.5</v>
      </c>
      <c r="G28" s="388">
        <v>40</v>
      </c>
      <c r="H28" s="388">
        <f t="shared" si="0"/>
        <v>124.00000000000006</v>
      </c>
      <c r="I28" s="389">
        <v>1.1000000000000001</v>
      </c>
      <c r="J28" s="389">
        <f t="shared" si="1"/>
        <v>136.40000000000006</v>
      </c>
      <c r="K28" s="389">
        <f t="shared" si="4"/>
        <v>136.40000000000006</v>
      </c>
      <c r="L28" s="390">
        <v>80</v>
      </c>
      <c r="M28" s="390">
        <v>80</v>
      </c>
      <c r="N28" s="391">
        <f t="shared" si="2"/>
        <v>0</v>
      </c>
      <c r="O28" s="392">
        <v>4.4000000000000004</v>
      </c>
      <c r="P28" s="392">
        <f t="shared" si="3"/>
        <v>0</v>
      </c>
      <c r="Q28" s="405">
        <v>136</v>
      </c>
    </row>
    <row r="29" spans="1:17" s="404" customFormat="1" ht="30" customHeight="1" thickTop="1" thickBot="1">
      <c r="A29" s="395">
        <v>18</v>
      </c>
      <c r="B29" s="396" t="s">
        <v>39</v>
      </c>
      <c r="C29" s="396" t="s">
        <v>16</v>
      </c>
      <c r="D29" s="397" t="s">
        <v>85</v>
      </c>
      <c r="E29" s="398">
        <v>868</v>
      </c>
      <c r="F29" s="398">
        <v>820</v>
      </c>
      <c r="G29" s="398">
        <v>1</v>
      </c>
      <c r="H29" s="398">
        <f t="shared" si="0"/>
        <v>48</v>
      </c>
      <c r="I29" s="399">
        <v>1.1000000000000001</v>
      </c>
      <c r="J29" s="399">
        <f t="shared" si="1"/>
        <v>52.800000000000004</v>
      </c>
      <c r="K29" s="399">
        <f t="shared" si="4"/>
        <v>52.800000000000004</v>
      </c>
      <c r="L29" s="400">
        <v>17</v>
      </c>
      <c r="M29" s="400">
        <v>17</v>
      </c>
      <c r="N29" s="401">
        <f t="shared" si="2"/>
        <v>0</v>
      </c>
      <c r="O29" s="402">
        <v>4.4000000000000004</v>
      </c>
      <c r="P29" s="402">
        <f t="shared" si="3"/>
        <v>0</v>
      </c>
      <c r="Q29" s="406">
        <v>53</v>
      </c>
    </row>
    <row r="30" spans="1:17" s="394" customFormat="1" ht="30" customHeight="1" thickTop="1" thickBot="1">
      <c r="A30" s="385">
        <v>19</v>
      </c>
      <c r="B30" s="386" t="s">
        <v>41</v>
      </c>
      <c r="C30" s="386" t="s">
        <v>16</v>
      </c>
      <c r="D30" s="387" t="s">
        <v>85</v>
      </c>
      <c r="E30" s="388">
        <v>4043</v>
      </c>
      <c r="F30" s="388">
        <v>3848</v>
      </c>
      <c r="G30" s="388">
        <v>1</v>
      </c>
      <c r="H30" s="388">
        <f t="shared" si="0"/>
        <v>195</v>
      </c>
      <c r="I30" s="389">
        <v>1.1000000000000001</v>
      </c>
      <c r="J30" s="389">
        <f t="shared" si="1"/>
        <v>214.50000000000003</v>
      </c>
      <c r="K30" s="389">
        <f t="shared" si="4"/>
        <v>214.50000000000003</v>
      </c>
      <c r="L30" s="390">
        <v>83</v>
      </c>
      <c r="M30" s="390">
        <v>83</v>
      </c>
      <c r="N30" s="391">
        <f t="shared" si="2"/>
        <v>0</v>
      </c>
      <c r="O30" s="392">
        <v>4.4000000000000004</v>
      </c>
      <c r="P30" s="392">
        <f t="shared" si="3"/>
        <v>0</v>
      </c>
      <c r="Q30" s="405">
        <v>214.5</v>
      </c>
    </row>
    <row r="31" spans="1:17" s="404" customFormat="1" ht="30" customHeight="1" thickTop="1" thickBot="1">
      <c r="A31" s="395">
        <v>20</v>
      </c>
      <c r="B31" s="396" t="s">
        <v>43</v>
      </c>
      <c r="C31" s="396" t="s">
        <v>16</v>
      </c>
      <c r="D31" s="397">
        <v>281917</v>
      </c>
      <c r="E31" s="398">
        <v>148.6</v>
      </c>
      <c r="F31" s="398">
        <v>134.9</v>
      </c>
      <c r="G31" s="398">
        <v>100</v>
      </c>
      <c r="H31" s="398">
        <f t="shared" si="0"/>
        <v>1369.9999999999989</v>
      </c>
      <c r="I31" s="399">
        <v>1.1000000000000001</v>
      </c>
      <c r="J31" s="399">
        <f t="shared" si="1"/>
        <v>1506.9999999999989</v>
      </c>
      <c r="K31" s="399">
        <f t="shared" si="4"/>
        <v>1506.9999999999989</v>
      </c>
      <c r="L31" s="400">
        <v>14</v>
      </c>
      <c r="M31" s="400">
        <v>14</v>
      </c>
      <c r="N31" s="401">
        <f t="shared" si="2"/>
        <v>0</v>
      </c>
      <c r="O31" s="402">
        <v>4.4000000000000004</v>
      </c>
      <c r="P31" s="402">
        <f t="shared" si="3"/>
        <v>0</v>
      </c>
      <c r="Q31" s="406">
        <v>1507</v>
      </c>
    </row>
    <row r="32" spans="1:17" s="394" customFormat="1" ht="30" customHeight="1" thickTop="1" thickBot="1">
      <c r="A32" s="385">
        <v>21</v>
      </c>
      <c r="B32" s="386" t="s">
        <v>44</v>
      </c>
      <c r="C32" s="386" t="s">
        <v>16</v>
      </c>
      <c r="D32" s="387">
        <v>136865</v>
      </c>
      <c r="E32" s="388">
        <v>436.5</v>
      </c>
      <c r="F32" s="388">
        <v>405.5</v>
      </c>
      <c r="G32" s="388">
        <v>20</v>
      </c>
      <c r="H32" s="388">
        <f t="shared" si="0"/>
        <v>620</v>
      </c>
      <c r="I32" s="389">
        <v>1.1000000000000001</v>
      </c>
      <c r="J32" s="389">
        <f t="shared" si="1"/>
        <v>682</v>
      </c>
      <c r="K32" s="389">
        <f t="shared" si="4"/>
        <v>682</v>
      </c>
      <c r="L32" s="390">
        <v>7</v>
      </c>
      <c r="M32" s="390">
        <v>7</v>
      </c>
      <c r="N32" s="391">
        <f t="shared" si="2"/>
        <v>0</v>
      </c>
      <c r="O32" s="392">
        <v>4.4000000000000004</v>
      </c>
      <c r="P32" s="392">
        <f t="shared" si="3"/>
        <v>0</v>
      </c>
      <c r="Q32" s="405">
        <v>682</v>
      </c>
    </row>
    <row r="33" spans="1:21" s="404" customFormat="1" ht="30" customHeight="1" thickTop="1" thickBot="1">
      <c r="A33" s="395">
        <v>22</v>
      </c>
      <c r="B33" s="396" t="s">
        <v>46</v>
      </c>
      <c r="C33" s="396" t="s">
        <v>16</v>
      </c>
      <c r="D33" s="397">
        <v>121780</v>
      </c>
      <c r="E33" s="398">
        <v>114.1</v>
      </c>
      <c r="F33" s="398">
        <v>103.9</v>
      </c>
      <c r="G33" s="398">
        <v>20</v>
      </c>
      <c r="H33" s="398">
        <f t="shared" si="0"/>
        <v>203.99999999999977</v>
      </c>
      <c r="I33" s="399">
        <v>1.1000000000000001</v>
      </c>
      <c r="J33" s="399">
        <f t="shared" si="1"/>
        <v>224.39999999999978</v>
      </c>
      <c r="K33" s="399">
        <f t="shared" si="4"/>
        <v>224.39999999999978</v>
      </c>
      <c r="L33" s="400">
        <v>89</v>
      </c>
      <c r="M33" s="400">
        <v>89</v>
      </c>
      <c r="N33" s="401">
        <f t="shared" si="2"/>
        <v>0</v>
      </c>
      <c r="O33" s="402">
        <v>4.4000000000000004</v>
      </c>
      <c r="P33" s="402">
        <f t="shared" si="3"/>
        <v>0</v>
      </c>
      <c r="Q33" s="406">
        <v>225</v>
      </c>
    </row>
    <row r="34" spans="1:21" s="394" customFormat="1" ht="30" customHeight="1" thickTop="1" thickBot="1">
      <c r="A34" s="385">
        <v>23</v>
      </c>
      <c r="B34" s="386" t="s">
        <v>47</v>
      </c>
      <c r="C34" s="386" t="s">
        <v>16</v>
      </c>
      <c r="D34" s="387">
        <v>135940</v>
      </c>
      <c r="E34" s="388">
        <v>73</v>
      </c>
      <c r="F34" s="388">
        <v>70.400000000000006</v>
      </c>
      <c r="G34" s="388">
        <v>30</v>
      </c>
      <c r="H34" s="388">
        <f t="shared" si="0"/>
        <v>77.999999999999829</v>
      </c>
      <c r="I34" s="389">
        <v>1.1000000000000001</v>
      </c>
      <c r="J34" s="389">
        <f t="shared" si="1"/>
        <v>85.799999999999812</v>
      </c>
      <c r="K34" s="389">
        <f t="shared" si="4"/>
        <v>85.799999999999812</v>
      </c>
      <c r="L34" s="390">
        <v>7</v>
      </c>
      <c r="M34" s="390">
        <v>7</v>
      </c>
      <c r="N34" s="391">
        <f t="shared" si="2"/>
        <v>0</v>
      </c>
      <c r="O34" s="392">
        <v>4.4000000000000004</v>
      </c>
      <c r="P34" s="392">
        <f t="shared" si="3"/>
        <v>0</v>
      </c>
      <c r="Q34" s="405">
        <v>86</v>
      </c>
    </row>
    <row r="35" spans="1:21" s="404" customFormat="1" ht="30" customHeight="1" thickTop="1" thickBot="1">
      <c r="A35" s="436">
        <v>24</v>
      </c>
      <c r="B35" s="435" t="s">
        <v>246</v>
      </c>
      <c r="C35" s="396" t="s">
        <v>16</v>
      </c>
      <c r="D35" s="397">
        <v>121780</v>
      </c>
      <c r="E35" s="398">
        <v>4581.2</v>
      </c>
      <c r="F35" s="398">
        <v>4415.1000000000004</v>
      </c>
      <c r="G35" s="398">
        <v>30</v>
      </c>
      <c r="H35" s="398">
        <f t="shared" ref="H35:H40" si="5">(E35-F35)*G35</f>
        <v>4982.9999999999836</v>
      </c>
      <c r="I35" s="399">
        <v>1.1000000000000001</v>
      </c>
      <c r="J35" s="399">
        <f t="shared" ref="J35:J40" si="6">H35*I35</f>
        <v>5481.299999999982</v>
      </c>
      <c r="K35" s="399">
        <v>0</v>
      </c>
      <c r="L35" s="400">
        <v>127</v>
      </c>
      <c r="M35" s="400">
        <v>127</v>
      </c>
      <c r="N35" s="401">
        <f t="shared" si="2"/>
        <v>0</v>
      </c>
      <c r="O35" s="402">
        <v>4.4000000000000004</v>
      </c>
      <c r="P35" s="402">
        <f t="shared" si="3"/>
        <v>0</v>
      </c>
      <c r="Q35" s="437"/>
    </row>
    <row r="36" spans="1:21" s="394" customFormat="1" ht="30" customHeight="1" thickTop="1" thickBot="1">
      <c r="A36" s="653">
        <v>25</v>
      </c>
      <c r="B36" s="654" t="s">
        <v>186</v>
      </c>
      <c r="C36" s="386" t="s">
        <v>17</v>
      </c>
      <c r="D36" s="387" t="s">
        <v>85</v>
      </c>
      <c r="E36" s="388">
        <v>229</v>
      </c>
      <c r="F36" s="388">
        <v>204</v>
      </c>
      <c r="G36" s="388">
        <v>1</v>
      </c>
      <c r="H36" s="388">
        <f t="shared" si="5"/>
        <v>25</v>
      </c>
      <c r="I36" s="389">
        <v>1.1000000000000001</v>
      </c>
      <c r="J36" s="389">
        <f t="shared" si="6"/>
        <v>27.500000000000004</v>
      </c>
      <c r="K36" s="655">
        <f>J36+J37</f>
        <v>3274.6999999999884</v>
      </c>
      <c r="L36" s="672">
        <v>73</v>
      </c>
      <c r="M36" s="672">
        <v>73</v>
      </c>
      <c r="N36" s="391">
        <f t="shared" si="2"/>
        <v>0</v>
      </c>
      <c r="O36" s="392">
        <v>4.4000000000000004</v>
      </c>
      <c r="P36" s="392">
        <f t="shared" si="3"/>
        <v>0</v>
      </c>
      <c r="Q36" s="671">
        <v>3274.7</v>
      </c>
    </row>
    <row r="37" spans="1:21" s="394" customFormat="1" ht="30" customHeight="1" thickTop="1" thickBot="1">
      <c r="A37" s="653"/>
      <c r="B37" s="654"/>
      <c r="C37" s="386" t="s">
        <v>16</v>
      </c>
      <c r="D37" s="387">
        <v>134768</v>
      </c>
      <c r="E37" s="388">
        <v>1152.0999999999999</v>
      </c>
      <c r="F37" s="388">
        <v>1115.2</v>
      </c>
      <c r="G37" s="388">
        <v>80</v>
      </c>
      <c r="H37" s="388">
        <f t="shared" si="5"/>
        <v>2951.9999999999891</v>
      </c>
      <c r="I37" s="389">
        <v>1.1000000000000001</v>
      </c>
      <c r="J37" s="389">
        <f t="shared" si="6"/>
        <v>3247.1999999999884</v>
      </c>
      <c r="K37" s="655"/>
      <c r="L37" s="672"/>
      <c r="M37" s="672"/>
      <c r="N37" s="391">
        <f t="shared" si="2"/>
        <v>0</v>
      </c>
      <c r="O37" s="392">
        <v>4.4000000000000004</v>
      </c>
      <c r="P37" s="392">
        <f t="shared" si="3"/>
        <v>0</v>
      </c>
      <c r="Q37" s="671"/>
    </row>
    <row r="38" spans="1:21" s="404" customFormat="1" ht="30" customHeight="1" thickTop="1" thickBot="1">
      <c r="A38" s="649">
        <v>26</v>
      </c>
      <c r="B38" s="650" t="s">
        <v>111</v>
      </c>
      <c r="C38" s="396" t="s">
        <v>16</v>
      </c>
      <c r="D38" s="397">
        <v>135939</v>
      </c>
      <c r="E38" s="398">
        <v>340.8</v>
      </c>
      <c r="F38" s="398">
        <v>271.39999999999998</v>
      </c>
      <c r="G38" s="398">
        <v>80</v>
      </c>
      <c r="H38" s="398">
        <f t="shared" si="5"/>
        <v>5552.0000000000027</v>
      </c>
      <c r="I38" s="399">
        <v>1.1000000000000001</v>
      </c>
      <c r="J38" s="399">
        <f t="shared" si="6"/>
        <v>6107.2000000000035</v>
      </c>
      <c r="K38" s="651">
        <f>J38+J39</f>
        <v>19879.200000000008</v>
      </c>
      <c r="L38" s="400">
        <v>2</v>
      </c>
      <c r="M38" s="400">
        <v>2</v>
      </c>
      <c r="N38" s="401">
        <f t="shared" si="2"/>
        <v>0</v>
      </c>
      <c r="O38" s="402">
        <v>4.4000000000000004</v>
      </c>
      <c r="P38" s="402">
        <f t="shared" si="3"/>
        <v>0</v>
      </c>
      <c r="Q38" s="670">
        <v>10000</v>
      </c>
      <c r="R38" s="686">
        <f>K38-Q38</f>
        <v>9879.200000000008</v>
      </c>
      <c r="S38" s="690"/>
      <c r="T38" s="690"/>
      <c r="U38" s="690"/>
    </row>
    <row r="39" spans="1:21" s="404" customFormat="1" ht="30" customHeight="1" thickTop="1" thickBot="1">
      <c r="A39" s="649"/>
      <c r="B39" s="650"/>
      <c r="C39" s="396" t="s">
        <v>218</v>
      </c>
      <c r="D39" s="397" t="s">
        <v>219</v>
      </c>
      <c r="E39" s="398">
        <v>261.60000000000002</v>
      </c>
      <c r="F39" s="398">
        <v>136.4</v>
      </c>
      <c r="G39" s="398">
        <v>100</v>
      </c>
      <c r="H39" s="398">
        <f t="shared" si="5"/>
        <v>12520.000000000002</v>
      </c>
      <c r="I39" s="399">
        <v>1.1000000000000001</v>
      </c>
      <c r="J39" s="399">
        <f t="shared" si="6"/>
        <v>13772.000000000004</v>
      </c>
      <c r="K39" s="651"/>
      <c r="L39" s="400"/>
      <c r="M39" s="400"/>
      <c r="N39" s="401"/>
      <c r="O39" s="402"/>
      <c r="P39" s="402"/>
      <c r="Q39" s="670"/>
      <c r="R39" s="685"/>
      <c r="S39" s="691"/>
      <c r="T39" s="691"/>
      <c r="U39" s="691"/>
    </row>
    <row r="40" spans="1:21" s="394" customFormat="1" ht="30" customHeight="1" thickTop="1" thickBot="1">
      <c r="A40" s="385">
        <v>27</v>
      </c>
      <c r="B40" s="386" t="s">
        <v>127</v>
      </c>
      <c r="C40" s="386" t="s">
        <v>16</v>
      </c>
      <c r="D40" s="387" t="s">
        <v>247</v>
      </c>
      <c r="E40" s="388">
        <v>177.7</v>
      </c>
      <c r="F40" s="388">
        <v>152.19999999999999</v>
      </c>
      <c r="G40" s="388">
        <v>80</v>
      </c>
      <c r="H40" s="388">
        <f t="shared" si="5"/>
        <v>2040</v>
      </c>
      <c r="I40" s="389">
        <v>1.1000000000000001</v>
      </c>
      <c r="J40" s="389">
        <f t="shared" si="6"/>
        <v>2244</v>
      </c>
      <c r="K40" s="389">
        <f>J40</f>
        <v>2244</v>
      </c>
      <c r="L40" s="390">
        <v>8</v>
      </c>
      <c r="M40" s="390">
        <v>8</v>
      </c>
      <c r="N40" s="391">
        <f t="shared" si="2"/>
        <v>0</v>
      </c>
      <c r="O40" s="392">
        <v>4.4000000000000004</v>
      </c>
      <c r="P40" s="392">
        <f t="shared" si="3"/>
        <v>0</v>
      </c>
      <c r="Q40" s="393">
        <v>2244</v>
      </c>
    </row>
    <row r="41" spans="1:21" s="416" customFormat="1" ht="30" customHeight="1" thickTop="1" thickBot="1">
      <c r="A41" s="407"/>
      <c r="B41" s="407"/>
      <c r="C41" s="407"/>
      <c r="D41" s="408"/>
      <c r="E41" s="408"/>
      <c r="F41" s="408"/>
      <c r="G41" s="408"/>
      <c r="H41" s="408">
        <f>SUM(H4:H40)</f>
        <v>51207.999999999985</v>
      </c>
      <c r="I41" s="408"/>
      <c r="J41" s="409">
        <f>SUM(J4:J40)</f>
        <v>56328.799999999988</v>
      </c>
      <c r="K41" s="409">
        <f>SUM(K4:K40)</f>
        <v>50847.500000000015</v>
      </c>
      <c r="L41" s="410"/>
      <c r="M41" s="411"/>
      <c r="N41" s="412">
        <f>SUM(N4:N40)</f>
        <v>0</v>
      </c>
      <c r="O41" s="413"/>
      <c r="P41" s="413"/>
      <c r="Q41" s="414">
        <f>SUM(Q4:Q40)</f>
        <v>40963.4</v>
      </c>
    </row>
    <row r="42" spans="1:21" s="416" customFormat="1" ht="30" customHeight="1" thickTop="1" thickBot="1">
      <c r="A42" s="677" t="s">
        <v>112</v>
      </c>
      <c r="B42" s="677"/>
      <c r="C42" s="678" t="s">
        <v>231</v>
      </c>
      <c r="D42" s="678"/>
      <c r="E42" s="678"/>
      <c r="F42" s="678"/>
      <c r="G42" s="678"/>
      <c r="H42" s="678"/>
      <c r="I42" s="678"/>
      <c r="J42" s="678"/>
      <c r="K42" s="678"/>
      <c r="L42" s="679"/>
      <c r="M42" s="679"/>
      <c r="N42" s="678"/>
      <c r="O42" s="678"/>
      <c r="P42" s="678"/>
      <c r="Q42" s="417">
        <v>2390</v>
      </c>
    </row>
    <row r="43" spans="1:21" s="416" customFormat="1" ht="30" customHeight="1" thickTop="1" thickBot="1">
      <c r="A43" s="662" t="s">
        <v>117</v>
      </c>
      <c r="B43" s="663"/>
      <c r="C43" s="680" t="s">
        <v>237</v>
      </c>
      <c r="D43" s="680"/>
      <c r="E43" s="680"/>
      <c r="F43" s="680"/>
      <c r="G43" s="680"/>
      <c r="H43" s="680"/>
      <c r="I43" s="680"/>
      <c r="J43" s="680"/>
      <c r="K43" s="680"/>
      <c r="L43" s="681"/>
      <c r="M43" s="681"/>
      <c r="N43" s="680"/>
      <c r="O43" s="680"/>
      <c r="P43" s="680"/>
      <c r="Q43" s="418">
        <v>219</v>
      </c>
    </row>
    <row r="44" spans="1:21" s="416" customFormat="1" ht="30" customHeight="1" thickTop="1" thickBot="1">
      <c r="A44" s="664"/>
      <c r="B44" s="665"/>
      <c r="C44" s="668" t="s">
        <v>236</v>
      </c>
      <c r="D44" s="668"/>
      <c r="E44" s="668"/>
      <c r="F44" s="668"/>
      <c r="G44" s="668"/>
      <c r="H44" s="668"/>
      <c r="I44" s="668"/>
      <c r="J44" s="668"/>
      <c r="K44" s="668"/>
      <c r="L44" s="669"/>
      <c r="M44" s="669"/>
      <c r="N44" s="668"/>
      <c r="O44" s="668"/>
      <c r="P44" s="668"/>
      <c r="Q44" s="419">
        <v>52</v>
      </c>
    </row>
    <row r="45" spans="1:21" s="416" customFormat="1" ht="30" customHeight="1" thickTop="1" thickBot="1">
      <c r="A45" s="664"/>
      <c r="B45" s="665"/>
      <c r="C45" s="680" t="s">
        <v>238</v>
      </c>
      <c r="D45" s="680"/>
      <c r="E45" s="680"/>
      <c r="F45" s="680"/>
      <c r="G45" s="680"/>
      <c r="H45" s="680"/>
      <c r="I45" s="680"/>
      <c r="J45" s="680"/>
      <c r="K45" s="680"/>
      <c r="L45" s="681"/>
      <c r="M45" s="681"/>
      <c r="N45" s="680"/>
      <c r="O45" s="680"/>
      <c r="P45" s="680"/>
      <c r="Q45" s="418">
        <v>247</v>
      </c>
    </row>
    <row r="46" spans="1:21" s="416" customFormat="1" ht="30" customHeight="1" thickTop="1" thickBot="1">
      <c r="A46" s="664"/>
      <c r="B46" s="665"/>
      <c r="C46" s="668" t="s">
        <v>239</v>
      </c>
      <c r="D46" s="668"/>
      <c r="E46" s="668"/>
      <c r="F46" s="668"/>
      <c r="G46" s="668"/>
      <c r="H46" s="668"/>
      <c r="I46" s="668"/>
      <c r="J46" s="668"/>
      <c r="K46" s="668"/>
      <c r="L46" s="669"/>
      <c r="M46" s="669"/>
      <c r="N46" s="668"/>
      <c r="O46" s="668"/>
      <c r="P46" s="668"/>
      <c r="Q46" s="419">
        <v>25</v>
      </c>
    </row>
    <row r="47" spans="1:21" s="416" customFormat="1" ht="30" customHeight="1" thickTop="1" thickBot="1">
      <c r="A47" s="664"/>
      <c r="B47" s="665"/>
      <c r="C47" s="680" t="s">
        <v>240</v>
      </c>
      <c r="D47" s="680"/>
      <c r="E47" s="680"/>
      <c r="F47" s="680"/>
      <c r="G47" s="680"/>
      <c r="H47" s="680"/>
      <c r="I47" s="680"/>
      <c r="J47" s="680"/>
      <c r="K47" s="680"/>
      <c r="L47" s="681"/>
      <c r="M47" s="681"/>
      <c r="N47" s="680"/>
      <c r="O47" s="680"/>
      <c r="P47" s="680"/>
      <c r="Q47" s="418">
        <v>44.8</v>
      </c>
    </row>
    <row r="48" spans="1:21" s="416" customFormat="1" ht="40.5" customHeight="1" thickTop="1" thickBot="1">
      <c r="A48" s="664"/>
      <c r="B48" s="665"/>
      <c r="C48" s="668" t="s">
        <v>249</v>
      </c>
      <c r="D48" s="668"/>
      <c r="E48" s="668"/>
      <c r="F48" s="668"/>
      <c r="G48" s="668"/>
      <c r="H48" s="668"/>
      <c r="I48" s="668"/>
      <c r="J48" s="668"/>
      <c r="K48" s="668"/>
      <c r="L48" s="669"/>
      <c r="M48" s="669"/>
      <c r="N48" s="668"/>
      <c r="O48" s="668"/>
      <c r="P48" s="668"/>
      <c r="Q48" s="419">
        <v>2700</v>
      </c>
    </row>
    <row r="49" spans="1:17" s="416" customFormat="1" ht="30" customHeight="1" thickTop="1" thickBot="1">
      <c r="A49" s="664"/>
      <c r="B49" s="665"/>
      <c r="C49" s="680" t="s">
        <v>250</v>
      </c>
      <c r="D49" s="680"/>
      <c r="E49" s="680"/>
      <c r="F49" s="680"/>
      <c r="G49" s="680"/>
      <c r="H49" s="680"/>
      <c r="I49" s="680"/>
      <c r="J49" s="680"/>
      <c r="K49" s="680"/>
      <c r="L49" s="681"/>
      <c r="M49" s="681"/>
      <c r="N49" s="680"/>
      <c r="O49" s="680"/>
      <c r="P49" s="680"/>
      <c r="Q49" s="418">
        <f>25484.26*1.001</f>
        <v>25509.744259999996</v>
      </c>
    </row>
    <row r="50" spans="1:17" s="416" customFormat="1" ht="30" customHeight="1" thickTop="1" thickBot="1">
      <c r="A50" s="664"/>
      <c r="B50" s="665"/>
      <c r="C50" s="682" t="s">
        <v>251</v>
      </c>
      <c r="D50" s="668"/>
      <c r="E50" s="668"/>
      <c r="F50" s="668"/>
      <c r="G50" s="668"/>
      <c r="H50" s="668"/>
      <c r="I50" s="668"/>
      <c r="J50" s="668"/>
      <c r="K50" s="668"/>
      <c r="L50" s="669"/>
      <c r="M50" s="669"/>
      <c r="N50" s="668"/>
      <c r="O50" s="668"/>
      <c r="P50" s="668"/>
      <c r="Q50" s="419">
        <f>-'2026年2月水电费'!S57</f>
        <v>43.711879999980738</v>
      </c>
    </row>
    <row r="51" spans="1:17" s="416" customFormat="1" ht="30" customHeight="1" thickTop="1" thickBot="1">
      <c r="A51" s="664"/>
      <c r="B51" s="665"/>
      <c r="C51" s="680" t="s">
        <v>252</v>
      </c>
      <c r="D51" s="680"/>
      <c r="E51" s="680"/>
      <c r="F51" s="680"/>
      <c r="G51" s="680"/>
      <c r="H51" s="680"/>
      <c r="I51" s="680"/>
      <c r="J51" s="680"/>
      <c r="K51" s="680"/>
      <c r="L51" s="681"/>
      <c r="M51" s="681"/>
      <c r="N51" s="680"/>
      <c r="O51" s="680"/>
      <c r="P51" s="680"/>
      <c r="Q51" s="418">
        <v>900</v>
      </c>
    </row>
    <row r="52" spans="1:17" s="416" customFormat="1" ht="30" customHeight="1" thickTop="1" thickBot="1">
      <c r="A52" s="664"/>
      <c r="B52" s="665"/>
      <c r="C52" s="668" t="s">
        <v>253</v>
      </c>
      <c r="D52" s="668"/>
      <c r="E52" s="668"/>
      <c r="F52" s="668"/>
      <c r="G52" s="668"/>
      <c r="H52" s="668"/>
      <c r="I52" s="668"/>
      <c r="J52" s="668"/>
      <c r="K52" s="668"/>
      <c r="L52" s="669"/>
      <c r="M52" s="669"/>
      <c r="N52" s="668"/>
      <c r="O52" s="668"/>
      <c r="P52" s="668"/>
      <c r="Q52" s="419"/>
    </row>
    <row r="53" spans="1:17" s="416" customFormat="1" ht="30" customHeight="1" thickTop="1" thickBot="1">
      <c r="A53" s="664"/>
      <c r="B53" s="665"/>
      <c r="C53" s="680" t="s">
        <v>254</v>
      </c>
      <c r="D53" s="680"/>
      <c r="E53" s="680"/>
      <c r="F53" s="680"/>
      <c r="G53" s="680"/>
      <c r="H53" s="680"/>
      <c r="I53" s="680"/>
      <c r="J53" s="680"/>
      <c r="K53" s="680"/>
      <c r="L53" s="681"/>
      <c r="M53" s="681"/>
      <c r="N53" s="680"/>
      <c r="O53" s="680"/>
      <c r="P53" s="680"/>
      <c r="Q53" s="420">
        <v>287</v>
      </c>
    </row>
    <row r="54" spans="1:17" s="416" customFormat="1" ht="30" customHeight="1" thickTop="1" thickBot="1">
      <c r="A54" s="664"/>
      <c r="B54" s="665"/>
      <c r="C54" s="668" t="s">
        <v>257</v>
      </c>
      <c r="D54" s="668"/>
      <c r="E54" s="668"/>
      <c r="F54" s="668"/>
      <c r="G54" s="668"/>
      <c r="H54" s="668"/>
      <c r="I54" s="668"/>
      <c r="J54" s="668"/>
      <c r="K54" s="668"/>
      <c r="L54" s="439"/>
      <c r="M54" s="439"/>
      <c r="N54" s="438"/>
      <c r="O54" s="438"/>
      <c r="P54" s="438"/>
      <c r="Q54" s="420">
        <v>50</v>
      </c>
    </row>
    <row r="55" spans="1:17" s="416" customFormat="1" ht="30" customHeight="1" thickTop="1" thickBot="1">
      <c r="A55" s="664"/>
      <c r="B55" s="665"/>
      <c r="C55" s="687"/>
      <c r="D55" s="688"/>
      <c r="E55" s="688"/>
      <c r="F55" s="688"/>
      <c r="G55" s="688"/>
      <c r="H55" s="688"/>
      <c r="I55" s="688"/>
      <c r="J55" s="688"/>
      <c r="K55" s="689"/>
      <c r="L55" s="439"/>
      <c r="M55" s="439"/>
      <c r="N55" s="438"/>
      <c r="O55" s="438"/>
      <c r="P55" s="438"/>
      <c r="Q55" s="420"/>
    </row>
    <row r="56" spans="1:17" s="416" customFormat="1" ht="30" customHeight="1" thickTop="1" thickBot="1">
      <c r="A56" s="666"/>
      <c r="B56" s="667"/>
      <c r="C56" s="668" t="s">
        <v>255</v>
      </c>
      <c r="D56" s="668"/>
      <c r="E56" s="668"/>
      <c r="F56" s="668"/>
      <c r="G56" s="668"/>
      <c r="H56" s="668"/>
      <c r="I56" s="668"/>
      <c r="J56" s="668"/>
      <c r="K56" s="668"/>
      <c r="L56" s="669"/>
      <c r="M56" s="669"/>
      <c r="N56" s="668"/>
      <c r="O56" s="668"/>
      <c r="P56" s="668"/>
      <c r="Q56" s="419">
        <v>235</v>
      </c>
    </row>
    <row r="57" spans="1:17" s="416" customFormat="1" ht="30" customHeight="1" thickTop="1" thickBot="1">
      <c r="A57" s="683" t="s">
        <v>200</v>
      </c>
      <c r="B57" s="684"/>
      <c r="C57" s="684"/>
      <c r="D57" s="684"/>
      <c r="E57" s="684"/>
      <c r="F57" s="684"/>
      <c r="G57" s="684"/>
      <c r="H57" s="684"/>
      <c r="I57" s="684"/>
      <c r="J57" s="684"/>
      <c r="K57" s="684"/>
      <c r="L57" s="684"/>
      <c r="M57" s="684"/>
      <c r="N57" s="684"/>
      <c r="O57" s="684"/>
      <c r="P57" s="684"/>
      <c r="Q57" s="420">
        <f>SUM(Q42:Q56)</f>
        <v>32703.256139999976</v>
      </c>
    </row>
    <row r="58" spans="1:17" s="422" customFormat="1" ht="30" customHeight="1" thickTop="1" thickBot="1">
      <c r="A58" s="673" t="s">
        <v>140</v>
      </c>
      <c r="B58" s="673"/>
      <c r="C58" s="673"/>
      <c r="D58" s="674"/>
      <c r="E58" s="674"/>
      <c r="F58" s="674"/>
      <c r="G58" s="674"/>
      <c r="H58" s="674"/>
      <c r="I58" s="674"/>
      <c r="J58" s="674"/>
      <c r="K58" s="674"/>
      <c r="L58" s="675"/>
      <c r="M58" s="676"/>
      <c r="N58" s="673"/>
      <c r="O58" s="673"/>
      <c r="P58" s="673"/>
      <c r="Q58" s="421">
        <f>Q41-Q57</f>
        <v>8260.1438600000256</v>
      </c>
    </row>
    <row r="59" spans="1:17" s="422" customFormat="1" ht="30" customHeight="1" thickTop="1" thickBot="1">
      <c r="A59" s="423"/>
      <c r="B59" s="423"/>
      <c r="C59" s="423"/>
      <c r="D59" s="424"/>
      <c r="E59" s="425"/>
      <c r="F59" s="425"/>
      <c r="G59" s="425"/>
      <c r="H59" s="425"/>
      <c r="I59" s="425"/>
      <c r="J59" s="425"/>
      <c r="K59" s="425"/>
      <c r="L59" s="426"/>
      <c r="M59" s="415"/>
      <c r="N59" s="416"/>
      <c r="O59" s="416"/>
      <c r="P59" s="416"/>
      <c r="Q59" s="427"/>
    </row>
    <row r="60" spans="1:17" s="434" customFormat="1" ht="28" customHeight="1" thickTop="1" thickBot="1">
      <c r="A60" s="428"/>
      <c r="B60" s="428"/>
      <c r="C60" s="428"/>
      <c r="D60" s="429"/>
      <c r="E60" s="430"/>
      <c r="F60" s="430"/>
      <c r="G60" s="430"/>
      <c r="H60" s="430"/>
      <c r="I60" s="430"/>
      <c r="J60" s="430"/>
      <c r="K60" s="430"/>
      <c r="L60" s="431"/>
      <c r="M60" s="432"/>
      <c r="N60" s="379"/>
      <c r="O60" s="379"/>
      <c r="P60" s="379"/>
      <c r="Q60" s="433"/>
    </row>
    <row r="61" spans="1:17" s="434" customFormat="1" ht="28" customHeight="1" thickTop="1" thickBot="1">
      <c r="A61" s="428"/>
      <c r="B61" s="428"/>
      <c r="C61" s="428"/>
      <c r="D61" s="429"/>
      <c r="E61" s="430"/>
      <c r="F61" s="430"/>
      <c r="G61" s="430"/>
      <c r="H61" s="430"/>
      <c r="I61" s="430"/>
      <c r="J61" s="430"/>
      <c r="K61" s="430"/>
      <c r="L61" s="431"/>
      <c r="M61" s="432"/>
      <c r="N61" s="379"/>
      <c r="O61" s="379"/>
      <c r="P61" s="379"/>
      <c r="Q61" s="433"/>
    </row>
    <row r="62" spans="1:17" s="434" customFormat="1" ht="28" customHeight="1" thickTop="1" thickBot="1">
      <c r="A62" s="428"/>
      <c r="B62" s="428"/>
      <c r="C62" s="428"/>
      <c r="D62" s="429"/>
      <c r="E62" s="430"/>
      <c r="F62" s="430"/>
      <c r="G62" s="430"/>
      <c r="H62" s="430"/>
      <c r="I62" s="430"/>
      <c r="J62" s="430"/>
      <c r="K62" s="430"/>
      <c r="L62" s="431"/>
      <c r="M62" s="432"/>
      <c r="N62" s="379"/>
      <c r="O62" s="379"/>
      <c r="P62" s="379"/>
      <c r="Q62" s="433"/>
    </row>
    <row r="63" spans="1:17" s="434" customFormat="1" ht="28" customHeight="1" thickTop="1" thickBot="1">
      <c r="A63" s="428"/>
      <c r="B63" s="428"/>
      <c r="C63" s="428"/>
      <c r="D63" s="429"/>
      <c r="E63" s="430"/>
      <c r="F63" s="430"/>
      <c r="G63" s="430"/>
      <c r="H63" s="430"/>
      <c r="I63" s="430"/>
      <c r="J63" s="430"/>
      <c r="K63" s="430"/>
      <c r="L63" s="431"/>
      <c r="M63" s="432"/>
      <c r="N63" s="379"/>
      <c r="O63" s="379"/>
      <c r="P63" s="379"/>
      <c r="Q63" s="433"/>
    </row>
    <row r="64" spans="1:17" s="434" customFormat="1" ht="28" customHeight="1" thickTop="1" thickBot="1">
      <c r="A64" s="428"/>
      <c r="B64" s="428"/>
      <c r="C64" s="428"/>
      <c r="D64" s="429"/>
      <c r="E64" s="430"/>
      <c r="F64" s="430"/>
      <c r="G64" s="430"/>
      <c r="H64" s="430"/>
      <c r="I64" s="430"/>
      <c r="J64" s="430"/>
      <c r="K64" s="430"/>
      <c r="L64" s="431"/>
      <c r="M64" s="432"/>
      <c r="N64" s="379"/>
      <c r="O64" s="379"/>
      <c r="P64" s="379"/>
      <c r="Q64" s="433"/>
    </row>
    <row r="65" spans="1:17" s="434" customFormat="1" ht="28" customHeight="1" thickTop="1" thickBot="1">
      <c r="A65" s="428"/>
      <c r="B65" s="428"/>
      <c r="C65" s="428"/>
      <c r="D65" s="429"/>
      <c r="E65" s="430"/>
      <c r="F65" s="430"/>
      <c r="G65" s="430"/>
      <c r="H65" s="430"/>
      <c r="I65" s="430"/>
      <c r="J65" s="430"/>
      <c r="K65" s="430"/>
      <c r="L65" s="431"/>
      <c r="M65" s="432"/>
      <c r="N65" s="379"/>
      <c r="O65" s="379"/>
      <c r="P65" s="379"/>
      <c r="Q65" s="433"/>
    </row>
    <row r="66" spans="1:17" s="434" customFormat="1" ht="28" customHeight="1" thickTop="1" thickBot="1">
      <c r="A66" s="428"/>
      <c r="B66" s="428"/>
      <c r="C66" s="428"/>
      <c r="D66" s="429"/>
      <c r="E66" s="430"/>
      <c r="F66" s="430"/>
      <c r="G66" s="430"/>
      <c r="H66" s="430"/>
      <c r="I66" s="430"/>
      <c r="J66" s="430"/>
      <c r="K66" s="430"/>
      <c r="L66" s="431"/>
      <c r="M66" s="432"/>
      <c r="N66" s="379"/>
      <c r="O66" s="379"/>
      <c r="P66" s="379"/>
      <c r="Q66" s="433"/>
    </row>
    <row r="67" spans="1:17" s="434" customFormat="1" ht="28" customHeight="1" thickTop="1" thickBot="1">
      <c r="A67" s="428"/>
      <c r="B67" s="428"/>
      <c r="C67" s="428"/>
      <c r="D67" s="429"/>
      <c r="E67" s="430"/>
      <c r="F67" s="430"/>
      <c r="G67" s="430"/>
      <c r="H67" s="430"/>
      <c r="I67" s="430"/>
      <c r="J67" s="430"/>
      <c r="K67" s="430"/>
      <c r="L67" s="431"/>
      <c r="M67" s="432"/>
      <c r="N67" s="379"/>
      <c r="O67" s="379"/>
      <c r="P67" s="379"/>
      <c r="Q67" s="433"/>
    </row>
    <row r="68" spans="1:17" s="434" customFormat="1" ht="28" customHeight="1" thickTop="1" thickBot="1">
      <c r="A68" s="428"/>
      <c r="B68" s="428"/>
      <c r="C68" s="428"/>
      <c r="D68" s="429"/>
      <c r="E68" s="430"/>
      <c r="F68" s="430"/>
      <c r="G68" s="430"/>
      <c r="H68" s="430"/>
      <c r="I68" s="430"/>
      <c r="J68" s="430"/>
      <c r="K68" s="430"/>
      <c r="L68" s="431"/>
      <c r="M68" s="432"/>
      <c r="N68" s="379"/>
      <c r="O68" s="379"/>
      <c r="P68" s="379"/>
      <c r="Q68" s="433"/>
    </row>
    <row r="69" spans="1:17" s="434" customFormat="1" ht="28" customHeight="1" thickTop="1" thickBot="1">
      <c r="A69" s="428"/>
      <c r="B69" s="428"/>
      <c r="C69" s="428"/>
      <c r="D69" s="429"/>
      <c r="E69" s="430"/>
      <c r="F69" s="430"/>
      <c r="G69" s="430"/>
      <c r="H69" s="430"/>
      <c r="I69" s="430"/>
      <c r="J69" s="430"/>
      <c r="K69" s="430"/>
      <c r="L69" s="431"/>
      <c r="M69" s="432"/>
      <c r="N69" s="379"/>
      <c r="O69" s="379"/>
      <c r="P69" s="379"/>
      <c r="Q69" s="433"/>
    </row>
    <row r="70" spans="1:17" s="434" customFormat="1" ht="28" customHeight="1" thickTop="1" thickBot="1">
      <c r="A70" s="428"/>
      <c r="B70" s="428"/>
      <c r="C70" s="428"/>
      <c r="D70" s="429"/>
      <c r="E70" s="430"/>
      <c r="F70" s="430"/>
      <c r="G70" s="430"/>
      <c r="H70" s="430"/>
      <c r="I70" s="430"/>
      <c r="J70" s="430"/>
      <c r="K70" s="430"/>
      <c r="L70" s="431"/>
      <c r="M70" s="432"/>
      <c r="N70" s="379"/>
      <c r="O70" s="379"/>
      <c r="P70" s="379"/>
      <c r="Q70" s="433"/>
    </row>
    <row r="71" spans="1:17" s="434" customFormat="1" ht="28" customHeight="1" thickTop="1" thickBot="1">
      <c r="A71" s="428"/>
      <c r="B71" s="428"/>
      <c r="C71" s="428"/>
      <c r="D71" s="429"/>
      <c r="E71" s="430"/>
      <c r="F71" s="430"/>
      <c r="G71" s="430"/>
      <c r="H71" s="430"/>
      <c r="I71" s="430"/>
      <c r="J71" s="430"/>
      <c r="K71" s="430"/>
      <c r="L71" s="431"/>
      <c r="M71" s="432"/>
      <c r="N71" s="379"/>
      <c r="O71" s="379"/>
      <c r="P71" s="379"/>
      <c r="Q71" s="433"/>
    </row>
    <row r="72" spans="1:17" s="434" customFormat="1" ht="28" customHeight="1" thickTop="1" thickBot="1">
      <c r="A72" s="428"/>
      <c r="B72" s="428"/>
      <c r="C72" s="428"/>
      <c r="D72" s="429"/>
      <c r="E72" s="430"/>
      <c r="F72" s="430"/>
      <c r="G72" s="430"/>
      <c r="H72" s="430"/>
      <c r="I72" s="430"/>
      <c r="J72" s="430"/>
      <c r="K72" s="430"/>
      <c r="L72" s="431"/>
      <c r="M72" s="432"/>
      <c r="N72" s="379"/>
      <c r="O72" s="379"/>
      <c r="P72" s="379"/>
      <c r="Q72" s="433"/>
    </row>
    <row r="73" spans="1:17" s="434" customFormat="1" ht="28" customHeight="1" thickTop="1" thickBot="1">
      <c r="A73" s="428"/>
      <c r="B73" s="428"/>
      <c r="C73" s="428"/>
      <c r="D73" s="429"/>
      <c r="E73" s="430"/>
      <c r="F73" s="430"/>
      <c r="G73" s="430"/>
      <c r="H73" s="430"/>
      <c r="I73" s="430"/>
      <c r="J73" s="430"/>
      <c r="K73" s="430"/>
      <c r="L73" s="431"/>
      <c r="M73" s="432"/>
      <c r="N73" s="379"/>
      <c r="O73" s="379"/>
      <c r="P73" s="379"/>
      <c r="Q73" s="433"/>
    </row>
    <row r="74" spans="1:17" s="434" customFormat="1" ht="28" customHeight="1" thickTop="1" thickBot="1">
      <c r="A74" s="428"/>
      <c r="B74" s="428"/>
      <c r="C74" s="428"/>
      <c r="D74" s="429"/>
      <c r="E74" s="430"/>
      <c r="F74" s="430"/>
      <c r="G74" s="430"/>
      <c r="H74" s="430"/>
      <c r="I74" s="430"/>
      <c r="J74" s="430"/>
      <c r="K74" s="430"/>
      <c r="L74" s="431"/>
      <c r="M74" s="432"/>
      <c r="N74" s="379"/>
      <c r="O74" s="379"/>
      <c r="P74" s="379"/>
      <c r="Q74" s="433"/>
    </row>
    <row r="75" spans="1:17" s="434" customFormat="1" ht="28" customHeight="1" thickTop="1" thickBot="1">
      <c r="A75" s="428"/>
      <c r="B75" s="428"/>
      <c r="C75" s="428"/>
      <c r="D75" s="429"/>
      <c r="E75" s="430"/>
      <c r="F75" s="430"/>
      <c r="G75" s="430"/>
      <c r="H75" s="430"/>
      <c r="I75" s="430"/>
      <c r="J75" s="430"/>
      <c r="K75" s="430"/>
      <c r="L75" s="431"/>
      <c r="M75" s="432"/>
      <c r="N75" s="379"/>
      <c r="O75" s="379"/>
      <c r="P75" s="379"/>
      <c r="Q75" s="433"/>
    </row>
    <row r="76" spans="1:17" s="434" customFormat="1" ht="28" customHeight="1" thickTop="1" thickBot="1">
      <c r="A76" s="428"/>
      <c r="B76" s="428"/>
      <c r="C76" s="428"/>
      <c r="D76" s="429"/>
      <c r="E76" s="430"/>
      <c r="F76" s="430"/>
      <c r="G76" s="430"/>
      <c r="H76" s="430"/>
      <c r="I76" s="430"/>
      <c r="J76" s="430"/>
      <c r="K76" s="430"/>
      <c r="L76" s="431"/>
      <c r="M76" s="432"/>
      <c r="N76" s="379"/>
      <c r="O76" s="379"/>
      <c r="P76" s="379"/>
      <c r="Q76" s="433"/>
    </row>
    <row r="77" spans="1:17" s="434" customFormat="1" ht="28" customHeight="1" thickTop="1" thickBot="1">
      <c r="A77" s="428"/>
      <c r="B77" s="428"/>
      <c r="C77" s="428"/>
      <c r="D77" s="429"/>
      <c r="E77" s="430"/>
      <c r="F77" s="430"/>
      <c r="G77" s="430"/>
      <c r="H77" s="430"/>
      <c r="I77" s="430"/>
      <c r="J77" s="430"/>
      <c r="K77" s="430"/>
      <c r="L77" s="431"/>
      <c r="M77" s="432"/>
      <c r="N77" s="379"/>
      <c r="O77" s="379"/>
      <c r="P77" s="379"/>
      <c r="Q77" s="433"/>
    </row>
    <row r="78" spans="1:17" s="434" customFormat="1" ht="28" customHeight="1" thickTop="1" thickBot="1">
      <c r="A78" s="428"/>
      <c r="B78" s="428"/>
      <c r="C78" s="428"/>
      <c r="D78" s="429"/>
      <c r="E78" s="430"/>
      <c r="F78" s="430"/>
      <c r="G78" s="430"/>
      <c r="H78" s="430"/>
      <c r="I78" s="430"/>
      <c r="J78" s="430"/>
      <c r="K78" s="430"/>
      <c r="L78" s="431"/>
      <c r="M78" s="432"/>
      <c r="N78" s="379"/>
      <c r="O78" s="379"/>
      <c r="P78" s="379"/>
      <c r="Q78" s="433"/>
    </row>
    <row r="79" spans="1:17" s="434" customFormat="1" ht="28" customHeight="1" thickTop="1" thickBot="1">
      <c r="A79" s="428"/>
      <c r="B79" s="428"/>
      <c r="C79" s="428"/>
      <c r="D79" s="429"/>
      <c r="E79" s="430"/>
      <c r="F79" s="430"/>
      <c r="G79" s="430"/>
      <c r="H79" s="430"/>
      <c r="I79" s="430"/>
      <c r="J79" s="430"/>
      <c r="K79" s="430"/>
      <c r="L79" s="431"/>
      <c r="M79" s="432"/>
      <c r="N79" s="379"/>
      <c r="O79" s="379"/>
      <c r="P79" s="379"/>
      <c r="Q79" s="433"/>
    </row>
    <row r="80" spans="1:17" s="434" customFormat="1" ht="28" customHeight="1" thickTop="1" thickBot="1">
      <c r="A80" s="428"/>
      <c r="B80" s="428"/>
      <c r="C80" s="428"/>
      <c r="D80" s="429"/>
      <c r="E80" s="430"/>
      <c r="F80" s="430"/>
      <c r="G80" s="430"/>
      <c r="H80" s="430"/>
      <c r="I80" s="430"/>
      <c r="J80" s="430"/>
      <c r="K80" s="430"/>
      <c r="L80" s="431"/>
      <c r="M80" s="432"/>
      <c r="N80" s="379"/>
      <c r="O80" s="379"/>
      <c r="P80" s="379"/>
      <c r="Q80" s="433"/>
    </row>
    <row r="81" spans="1:17" s="434" customFormat="1" ht="28" customHeight="1" thickTop="1" thickBot="1">
      <c r="A81" s="428"/>
      <c r="B81" s="428"/>
      <c r="C81" s="428"/>
      <c r="D81" s="429"/>
      <c r="E81" s="430"/>
      <c r="F81" s="430"/>
      <c r="G81" s="430"/>
      <c r="H81" s="430"/>
      <c r="I81" s="430"/>
      <c r="J81" s="430"/>
      <c r="K81" s="430"/>
      <c r="L81" s="431"/>
      <c r="M81" s="432"/>
      <c r="N81" s="379"/>
      <c r="O81" s="379"/>
      <c r="P81" s="379"/>
      <c r="Q81" s="433"/>
    </row>
    <row r="82" spans="1:17" s="434" customFormat="1" ht="28" customHeight="1" thickTop="1" thickBot="1">
      <c r="A82" s="428"/>
      <c r="B82" s="428"/>
      <c r="C82" s="428"/>
      <c r="D82" s="429"/>
      <c r="E82" s="430"/>
      <c r="F82" s="430"/>
      <c r="G82" s="430"/>
      <c r="H82" s="430"/>
      <c r="I82" s="430"/>
      <c r="J82" s="430"/>
      <c r="K82" s="430"/>
      <c r="L82" s="431"/>
      <c r="M82" s="432"/>
      <c r="N82" s="379"/>
      <c r="O82" s="379"/>
      <c r="P82" s="379"/>
      <c r="Q82" s="433"/>
    </row>
    <row r="83" spans="1:17" s="434" customFormat="1" ht="28" customHeight="1" thickTop="1" thickBot="1">
      <c r="A83" s="428"/>
      <c r="B83" s="428"/>
      <c r="C83" s="428"/>
      <c r="D83" s="429"/>
      <c r="E83" s="430"/>
      <c r="F83" s="430"/>
      <c r="G83" s="430"/>
      <c r="H83" s="430"/>
      <c r="I83" s="430"/>
      <c r="J83" s="430"/>
      <c r="K83" s="430"/>
      <c r="L83" s="431"/>
      <c r="M83" s="432"/>
      <c r="N83" s="379"/>
      <c r="O83" s="379"/>
      <c r="P83" s="379"/>
      <c r="Q83" s="433"/>
    </row>
    <row r="84" spans="1:17" s="434" customFormat="1" ht="28" customHeight="1" thickTop="1" thickBot="1">
      <c r="A84" s="428"/>
      <c r="B84" s="428"/>
      <c r="C84" s="428"/>
      <c r="D84" s="429"/>
      <c r="E84" s="430"/>
      <c r="F84" s="430"/>
      <c r="G84" s="430"/>
      <c r="H84" s="430"/>
      <c r="I84" s="430"/>
      <c r="J84" s="430"/>
      <c r="K84" s="430"/>
      <c r="L84" s="431"/>
      <c r="M84" s="432"/>
      <c r="N84" s="379"/>
      <c r="O84" s="379"/>
      <c r="P84" s="379"/>
      <c r="Q84" s="433"/>
    </row>
    <row r="85" spans="1:17" ht="15" thickTop="1" thickBot="1"/>
    <row r="86" spans="1:17" ht="15" thickTop="1" thickBot="1"/>
    <row r="87" spans="1:17" ht="15" thickTop="1" thickBot="1"/>
    <row r="88" spans="1:17" ht="15" thickTop="1" thickBot="1"/>
    <row r="89" spans="1:17" ht="15" thickTop="1" thickBot="1"/>
    <row r="90" spans="1:17" ht="15" thickTop="1" thickBot="1"/>
    <row r="91" spans="1:17" ht="15" thickTop="1" thickBot="1"/>
    <row r="92" spans="1:17" ht="15" thickTop="1" thickBot="1"/>
    <row r="93" spans="1:17" ht="15" thickTop="1" thickBot="1"/>
    <row r="94" spans="1:17" ht="15" thickTop="1" thickBot="1"/>
    <row r="95" spans="1:17" ht="15" thickTop="1" thickBot="1"/>
  </sheetData>
  <autoFilter ref="A2:Q58" xr:uid="{D8849F4D-BC53-4E79-85FE-6141172F73E3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</autoFilter>
  <mergeCells count="61">
    <mergeCell ref="R38:R39"/>
    <mergeCell ref="C54:K54"/>
    <mergeCell ref="C55:K55"/>
    <mergeCell ref="A58:P58"/>
    <mergeCell ref="A42:B42"/>
    <mergeCell ref="C42:P42"/>
    <mergeCell ref="C43:P43"/>
    <mergeCell ref="C44:P44"/>
    <mergeCell ref="C45:P45"/>
    <mergeCell ref="C46:P46"/>
    <mergeCell ref="C47:P47"/>
    <mergeCell ref="C48:P48"/>
    <mergeCell ref="C49:P49"/>
    <mergeCell ref="C50:P50"/>
    <mergeCell ref="C51:P51"/>
    <mergeCell ref="C52:P52"/>
    <mergeCell ref="C53:P53"/>
    <mergeCell ref="A57:P57"/>
    <mergeCell ref="B36:B37"/>
    <mergeCell ref="K36:K37"/>
    <mergeCell ref="L36:L37"/>
    <mergeCell ref="M36:M37"/>
    <mergeCell ref="K8:K10"/>
    <mergeCell ref="A43:B56"/>
    <mergeCell ref="C56:P56"/>
    <mergeCell ref="Q20:Q21"/>
    <mergeCell ref="A15:A16"/>
    <mergeCell ref="B15:B16"/>
    <mergeCell ref="K15:K16"/>
    <mergeCell ref="Q15:Q16"/>
    <mergeCell ref="A20:A21"/>
    <mergeCell ref="B20:B21"/>
    <mergeCell ref="K20:K21"/>
    <mergeCell ref="Q36:Q37"/>
    <mergeCell ref="A38:A39"/>
    <mergeCell ref="B38:B39"/>
    <mergeCell ref="K38:K39"/>
    <mergeCell ref="Q38:Q39"/>
    <mergeCell ref="A36:A37"/>
    <mergeCell ref="Q11:Q13"/>
    <mergeCell ref="A11:A13"/>
    <mergeCell ref="B11:B13"/>
    <mergeCell ref="K11:K13"/>
    <mergeCell ref="Q2:Q3"/>
    <mergeCell ref="A4:A5"/>
    <mergeCell ref="B4:B5"/>
    <mergeCell ref="K4:K5"/>
    <mergeCell ref="Q4:Q5"/>
    <mergeCell ref="Q6:Q7"/>
    <mergeCell ref="Q8:Q10"/>
    <mergeCell ref="B6:B7"/>
    <mergeCell ref="A6:A7"/>
    <mergeCell ref="K6:K7"/>
    <mergeCell ref="B8:B10"/>
    <mergeCell ref="A8:A10"/>
    <mergeCell ref="A1:P1"/>
    <mergeCell ref="A2:A3"/>
    <mergeCell ref="B2:B3"/>
    <mergeCell ref="C2:C3"/>
    <mergeCell ref="D2:K2"/>
    <mergeCell ref="L2:P2"/>
  </mergeCells>
  <phoneticPr fontId="22" type="noConversion"/>
  <conditionalFormatting sqref="J4 N12:N13">
    <cfRule type="expression" dxfId="9" priority="12">
      <formula>I4=""</formula>
    </cfRule>
  </conditionalFormatting>
  <conditionalFormatting sqref="J20">
    <cfRule type="expression" dxfId="8" priority="7">
      <formula>I20=""</formula>
    </cfRule>
  </conditionalFormatting>
  <conditionalFormatting sqref="K4:K6 J8:K8">
    <cfRule type="expression" dxfId="7" priority="1">
      <formula>I4=""</formula>
    </cfRule>
  </conditionalFormatting>
  <conditionalFormatting sqref="K20:K21">
    <cfRule type="expression" dxfId="6" priority="6">
      <formula>J20=""</formula>
    </cfRule>
  </conditionalFormatting>
  <conditionalFormatting sqref="L4:M4">
    <cfRule type="expression" dxfId="5" priority="3">
      <formula>J4=""</formula>
    </cfRule>
  </conditionalFormatting>
  <conditionalFormatting sqref="L8:M8">
    <cfRule type="expression" dxfId="4" priority="5">
      <formula>J8=""</formula>
    </cfRule>
  </conditionalFormatting>
  <conditionalFormatting sqref="L20:M20">
    <cfRule type="expression" dxfId="3" priority="8">
      <formula>J20=""</formula>
    </cfRule>
  </conditionalFormatting>
  <conditionalFormatting sqref="N4">
    <cfRule type="expression" dxfId="2" priority="2">
      <formula>M4=""</formula>
    </cfRule>
  </conditionalFormatting>
  <conditionalFormatting sqref="N6:N7 N9:N10 N15:N16 N18 N20 N22 N24 N26 N28 N30 N32 N34:N35 N37 N40">
    <cfRule type="expression" dxfId="1" priority="9">
      <formula>M6=""</formula>
    </cfRule>
  </conditionalFormatting>
  <conditionalFormatting sqref="O4:P40">
    <cfRule type="expression" dxfId="0" priority="10">
      <formula>#REF!=""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2025年3月电费</vt:lpstr>
      <vt:lpstr>2025年4月电费</vt:lpstr>
      <vt:lpstr>2025年5月电费</vt:lpstr>
      <vt:lpstr>抄表数据临时表</vt:lpstr>
      <vt:lpstr>2025年6月水电费</vt:lpstr>
      <vt:lpstr>2025年7月水电费</vt:lpstr>
      <vt:lpstr>2025年8月电费</vt:lpstr>
      <vt:lpstr>2025年9月电费</vt:lpstr>
      <vt:lpstr>2025年10月电费</vt:lpstr>
      <vt:lpstr>2025年11月电费</vt:lpstr>
      <vt:lpstr>2025年12月电费</vt:lpstr>
      <vt:lpstr>2026年1月水电费</vt:lpstr>
      <vt:lpstr>2026年2月水电费</vt:lpstr>
      <vt:lpstr>2026年3月水电费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苡 杨</dc:creator>
  <cp:lastModifiedBy>苡 杨</cp:lastModifiedBy>
  <dcterms:created xsi:type="dcterms:W3CDTF">2025-04-13T14:15:00Z</dcterms:created>
  <dcterms:modified xsi:type="dcterms:W3CDTF">2026-04-29T11:50:38Z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09B011D6D88E43C98C90754B77E6FE23_13</vt:lpwstr>
  </property>
  <property fmtid="{D5CDD505-2E9C-101B-9397-08002B2CF9AE}" pid="4" name="KSOProductBuildVer">
    <vt:lpwstr>2052-12.1.0.25222</vt:lpwstr>
  </property>
</Properties>
</file>